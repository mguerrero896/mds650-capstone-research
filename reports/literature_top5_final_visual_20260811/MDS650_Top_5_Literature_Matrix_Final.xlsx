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guer\Dev\MDS650-Capstone\reports\literature_top5_final_visual_20260811\"/>
    </mc:Choice>
  </mc:AlternateContent>
  <xr:revisionPtr revIDLastSave="0" documentId="13_ncr:1_{7F9774BA-4603-49D5-86EA-2F9C2124B7A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Top_5_Final" sheetId="1" r:id="rId1"/>
  </sheets>
  <definedNames>
    <definedName name="_xlnm._FilterDatabase" localSheetId="0" hidden="1">Top_5_Final!$A$6:$J$11</definedName>
    <definedName name="_xlnm.Print_Area" localSheetId="0">Top_5_Final!$A$1:$J$29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P10" i="1"/>
  <c r="P9" i="1"/>
  <c r="P8" i="1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MDS650</author>
  </authors>
  <commentList>
    <comment ref="D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Direct project fit (45%): Alignment with the RV30 decision and the B1/B2 information sets.
Cell display: 1–5 rating and weighted points.</t>
        </r>
      </text>
    </comment>
    <comment ref="E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Data &amp; horizon (15%): Similarity of market, target, frequency and forecast horizon.
Cell display: 1–5 rating and weighted points.</t>
        </r>
      </text>
    </comment>
    <comment ref="F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Time validity (15%): Chronological evaluation and explicit protection against future information.
Cell display: 1–5 rating and weighted points.</t>
        </r>
      </text>
    </comment>
    <comment ref="G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Method fit (15%): Compatibility of models, baselines, losses and comparison tests.
Cell display: 1–5 rating and weighted points.</t>
        </r>
      </text>
    </comment>
    <comment ref="H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Evidence strength (10%): Completeness and traceability of the audited source evidence.
Cell display: 1–5 rating and weighted points.</t>
        </r>
      </text>
    </comment>
  </commentList>
</comments>
</file>

<file path=xl/sharedStrings.xml><?xml version="1.0" encoding="utf-8"?>
<sst xmlns="http://schemas.openxmlformats.org/spreadsheetml/2006/main" count="104" uniqueCount="80">
  <si>
    <t>MDS650  |  Core Literature Portfolio</t>
  </si>
  <si>
    <t>FINAL  •  11 AUG 2026</t>
  </si>
  <si>
    <t>Top five complete-text-audited studies for the RV30 options-information design</t>
  </si>
  <si>
    <t>PORTFOLIO LOGIC   •   B1 forecasting   •   B1 feature design   •   QLIKE &amp; time-valid evaluation   •   B2 mechanism   •   RV measurement</t>
  </si>
  <si>
    <t>SELECTION SCORECARD</t>
  </si>
  <si>
    <t>RANK / ID</t>
  </si>
  <si>
    <t>STUDY</t>
  </si>
  <si>
    <t>PRIMARY ROLE</t>
  </si>
  <si>
    <t>DIRECT FIT
45%</t>
  </si>
  <si>
    <t>DATA &amp; HORIZON
15%</t>
  </si>
  <si>
    <t>TIME VALIDITY
15%</t>
  </si>
  <si>
    <t>METHOD FIT
15%</t>
  </si>
  <si>
    <t>EVIDENCE
10%</t>
  </si>
  <si>
    <t>TOTAL / 100</t>
  </si>
  <si>
    <t>SOURCE</t>
  </si>
  <si>
    <t>#1
LIT-019</t>
  </si>
  <si>
    <t>Forecasting realized volatility: The role of implied volatility, leverage effect, overnight returns, and volatility of realized volatility</t>
  </si>
  <si>
    <t>B1 incremental forecast</t>
  </si>
  <si>
    <t>●●●●○
36 / 45</t>
  </si>
  <si>
    <t>●●●○○
9 / 15</t>
  </si>
  <si>
    <t>●●●●○
12 / 15</t>
  </si>
  <si>
    <t>●●●●●
15 / 15</t>
  </si>
  <si>
    <t>●●●●○
8 / 10</t>
  </si>
  <si>
    <t>80
CORE FIT</t>
  </si>
  <si>
    <t>OPEN PAPER</t>
  </si>
  <si>
    <t>#2
LIT-003</t>
  </si>
  <si>
    <t>Options-driven volatility forecasting</t>
  </si>
  <si>
    <t>B1 feature design</t>
  </si>
  <si>
    <t>●●○○○
6 / 15</t>
  </si>
  <si>
    <t>74
STRONG FIT</t>
  </si>
  <si>
    <t>#3
LIT-008</t>
  </si>
  <si>
    <t>Coherent Forecasting of Realized Volatility</t>
  </si>
  <si>
    <t>QLIKE and time-valid design</t>
  </si>
  <si>
    <t>●●●○○
27 / 45</t>
  </si>
  <si>
    <t>#4
LIT-016</t>
  </si>
  <si>
    <t>Volatility Information Trading in the Option Market</t>
  </si>
  <si>
    <t>B2 activity mechanism</t>
  </si>
  <si>
    <t>●●●●●
45 / 45</t>
  </si>
  <si>
    <t>●○○○○
3 / 15</t>
  </si>
  <si>
    <t>68
ROLE FIT</t>
  </si>
  <si>
    <t>#5
LIT-012</t>
  </si>
  <si>
    <t>Data-based ranking of realised volatility estimators</t>
  </si>
  <si>
    <t>RV target and loss validity</t>
  </si>
  <si>
    <t>WHY EACH STUDY EARNS A PLACE</t>
  </si>
  <si>
    <t>STUDY &amp; ROLE</t>
  </si>
  <si>
    <t>WHY IT EARNS A PLACE</t>
  </si>
  <si>
    <t>USE BOUNDARY</t>
  </si>
  <si>
    <t>#1  LIT-019
B1 incremental forecast</t>
  </si>
  <si>
    <t>Best direct test of whether implied volatility improves HAR forecasts under QLIKE.</t>
  </si>
  <si>
    <t>Daily index evidence; no trade-derived B2 or exact RV30 origin.</t>
  </si>
  <si>
    <t>#2  LIT-003
B1 feature design</t>
  </si>
  <si>
    <t>Richest asset-level option-state design: surface, term, delta and model-derived features.</t>
  </si>
  <si>
    <t>Ordinary volume is not unusual activity; transformation chronology is incomplete.</t>
  </si>
  <si>
    <t>#3  LIT-008
QLIKE and time-valid design</t>
  </si>
  <si>
    <t>Best current guide for QLIKE-aligned estimation, rolling windows and loss sensitivity.</t>
  </si>
  <si>
    <t>Method anchor only; no option information and no RV30 target.</t>
  </si>
  <si>
    <t>#4  LIT-016
B2 activity mechanism</t>
  </si>
  <si>
    <t>Only study directly linking trade-derived option demand to future underlying volatility.</t>
  </si>
  <si>
    <t>Mechanism only; no chronological OOS, QLIKE or nested B2-versus-B1 test.</t>
  </si>
  <si>
    <t>#5  LIT-012
RV target and loss validity</t>
  </si>
  <si>
    <t>Foundational authority for RV measurement, noisy proxies, QLIKE and comparison validity.</t>
  </si>
  <si>
    <t>Measurement study; not an options forecast or out-of-sample predictor study.</t>
  </si>
  <si>
    <t>HOW TO READ THE SCORE</t>
  </si>
  <si>
    <t>45%</t>
  </si>
  <si>
    <t>15%</t>
  </si>
  <si>
    <t>10%</t>
  </si>
  <si>
    <t>DIRECT PROJECT FIT</t>
  </si>
  <si>
    <t>DATA &amp; HORIZON</t>
  </si>
  <si>
    <t>TIME VALIDITY</t>
  </si>
  <si>
    <t>METHOD FIT</t>
  </si>
  <si>
    <t>EVIDENCE STRENGTH</t>
  </si>
  <si>
    <t>Alignment with the RV30 decision and the B1/B2 information sets.</t>
  </si>
  <si>
    <t>Similarity of market, target, frequency and forecast horizon.</t>
  </si>
  <si>
    <t>Chronological evaluation and explicit protection against future information.</t>
  </si>
  <si>
    <t>Compatibility of models, baselines, losses and comparison tests.</t>
  </si>
  <si>
    <t>Completeness and traceability of the audited source evidence.</t>
  </si>
  <si>
    <t>CELL KEY  •  ● = one rating point out of five  •  weighted points appear below  •  darker blue = higher rating</t>
  </si>
  <si>
    <t>FORMULA  •  weighted points = rating ÷ 5 × criterion weight  •  total = sum of five criteria (100 maximum)</t>
  </si>
  <si>
    <t>SCOPE  •  scores rank usefulness for MDS650—not citation impact or universal paper quality.</t>
  </si>
  <si>
    <t>READING  •  the five studies form a complementary portfolio; no single paper supplies the full RV30 + point-in-time B1/B2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</si>
</sst>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4"/>
      <color rgb="FFFFFFFF"/>
      <name val="Aptos Display"/>
    </font>
    <font>
      <b/>
      <sz val="10"/>
      <color rgb="FFFFFFFF"/>
      <name val="Aptos"/>
    </font>
    <font>
      <sz val="12"/>
      <color rgb="FF5F6F7D"/>
      <name val="Aptos"/>
    </font>
    <font>
      <b/>
      <sz val="10"/>
      <color rgb="FF244A67"/>
      <name val="Aptos"/>
    </font>
    <font>
      <b/>
      <sz val="10"/>
      <color rgb="FF2A7F8E"/>
      <name val="Aptos"/>
    </font>
    <font>
      <b/>
      <sz val="9"/>
      <color rgb="FFFFFFFF"/>
      <name val="Aptos"/>
    </font>
    <font>
      <b/>
      <sz val="10"/>
      <color rgb="FF20303C"/>
      <name val="Aptos"/>
    </font>
    <font>
      <b/>
      <sz val="9"/>
      <color rgb="FF244A67"/>
      <name val="Aptos"/>
    </font>
    <font>
      <b/>
      <sz val="9"/>
      <color rgb="FF20303C"/>
      <name val="Aptos"/>
    </font>
    <font>
      <b/>
      <sz val="14"/>
      <color rgb="FFFFFFFF"/>
      <name val="Aptos Display"/>
    </font>
    <font>
      <sz val="12"/>
      <color theme="10"/>
      <name val="Calibri"/>
      <family val="2"/>
      <scheme val="minor"/>
    </font>
    <font>
      <b/>
      <u/>
      <sz val="9"/>
      <color rgb="FF2A7F8E"/>
      <name val="Aptos"/>
    </font>
    <font>
      <b/>
      <sz val="14"/>
      <color rgb="FF163E2D"/>
      <name val="Aptos Display"/>
    </font>
    <font>
      <sz val="9"/>
      <color rgb="FF20303C"/>
      <name val="Aptos"/>
    </font>
    <font>
      <b/>
      <sz val="18"/>
      <color rgb="FF17324D"/>
      <name val="Aptos Display"/>
    </font>
    <font>
      <b/>
      <sz val="9"/>
      <color rgb="FF2A7F8E"/>
      <name val="Aptos"/>
    </font>
    <font>
      <sz val="8"/>
      <color rgb="FF5F6F7D"/>
      <name val="Aptos"/>
    </font>
    <font>
      <b/>
      <sz val="8.5"/>
      <color rgb="FF244A67"/>
      <name val="Aptos"/>
    </font>
    <font>
      <sz val="8.5"/>
      <color rgb="FF20303C"/>
      <name val="Aptos"/>
    </font>
    <font>
      <b/>
      <sz val="8.5"/>
      <color rgb="FF23684A"/>
      <name val="Aptos"/>
    </font>
  </fonts>
  <fills count="1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244A67"/>
      </patternFill>
    </fill>
    <fill>
      <patternFill patternType="solid">
        <fgColor rgb="FFFFFFFF"/>
      </patternFill>
    </fill>
    <fill>
      <patternFill patternType="solid">
        <fgColor rgb="FF5A89B1"/>
      </patternFill>
    </fill>
    <fill>
      <patternFill patternType="solid">
        <fgColor rgb="FFB5D2E6"/>
      </patternFill>
    </fill>
    <fill>
      <patternFill patternType="solid">
        <fgColor rgb="FF214F77"/>
      </patternFill>
    </fill>
    <fill>
      <patternFill patternType="solid">
        <fgColor rgb="FF23684A"/>
      </patternFill>
    </fill>
    <fill>
      <patternFill patternType="solid">
        <fgColor rgb="FFF4F7FA"/>
      </patternFill>
    </fill>
    <fill>
      <patternFill patternType="solid">
        <fgColor rgb="FFDCEAF4"/>
      </patternFill>
    </fill>
    <fill>
      <patternFill patternType="solid">
        <fgColor rgb="FF5A9174"/>
      </patternFill>
    </fill>
    <fill>
      <patternFill patternType="solid">
        <fgColor rgb="FFF1F4F7"/>
      </patternFill>
    </fill>
    <fill>
      <patternFill patternType="solid">
        <fgColor rgb="FFBBD7C5"/>
      </patternFill>
    </fill>
    <fill>
      <patternFill patternType="solid">
        <fgColor rgb="FFFFF6DF"/>
      </patternFill>
    </fill>
    <fill>
      <patternFill patternType="solid">
        <fgColor rgb="FFE9F4EE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A7F8E"/>
      </bottom>
      <diagonal/>
    </border>
    <border>
      <left style="thin">
        <color rgb="FFFFFFFF"/>
      </left>
      <right style="thin">
        <color rgb="FFFFFFFF"/>
      </right>
      <top style="thin">
        <color rgb="FF244A67"/>
      </top>
      <bottom style="thin">
        <color rgb="FF244A67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/>
      <right/>
      <top/>
      <bottom style="thin">
        <color rgb="FFD7E0E7"/>
      </bottom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7" fillId="10" borderId="3" xfId="0" applyFont="1" applyFill="1" applyBorder="1" applyAlignment="1">
      <alignment vertical="center" wrapText="1"/>
    </xf>
    <xf numFmtId="0" fontId="8" fillId="10" borderId="3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/>
    <xf numFmtId="0" fontId="17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4" fillId="5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9" fillId="10" borderId="4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/>
    </xf>
    <xf numFmtId="0" fontId="15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8" fillId="3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doi.org/10.1002/for.70114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doi.org/10.1080/14697688.2025.2454623" TargetMode="External"/><Relationship Id="rId1" Type="http://schemas.openxmlformats.org/officeDocument/2006/relationships/hyperlink" Target="https://doi.org/10.1002/fut.2224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16/j.jeconom.2010.12.010" TargetMode="External"/><Relationship Id="rId4" Type="http://schemas.openxmlformats.org/officeDocument/2006/relationships/hyperlink" Target="https://doi.org/10.1111/j.1540-6261.2008.01352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showGridLines="0" tabSelected="1" zoomScale="85" workbookViewId="0">
      <pane xSplit="3" ySplit="6" topLeftCell="D7" activePane="bottomRight" state="frozen"/>
      <selection pane="topRight"/>
      <selection pane="bottomLeft"/>
      <selection pane="bottomRight" sqref="A1:H1"/>
    </sheetView>
  </sheetViews>
  <sheetFormatPr defaultRowHeight="14.25" x14ac:dyDescent="0.45"/>
  <cols>
    <col min="1" max="1" width="10" customWidth="1"/>
    <col min="2" max="2" width="43" customWidth="1"/>
    <col min="3" max="3" width="29" customWidth="1"/>
    <col min="4" max="9" width="15" customWidth="1"/>
    <col min="10" max="10" width="14" customWidth="1"/>
    <col min="11" max="16" width="13" hidden="1" customWidth="1"/>
  </cols>
  <sheetData>
    <row r="1" spans="1:16" ht="38" customHeight="1" x14ac:dyDescent="0.45">
      <c r="A1" s="26" t="s">
        <v>0</v>
      </c>
      <c r="B1" s="27"/>
      <c r="C1" s="27"/>
      <c r="D1" s="27"/>
      <c r="E1" s="27"/>
      <c r="F1" s="27"/>
      <c r="G1" s="27"/>
      <c r="H1" s="27"/>
      <c r="I1" s="32" t="s">
        <v>1</v>
      </c>
      <c r="J1" s="27"/>
    </row>
    <row r="2" spans="1:16" ht="24" customHeight="1" x14ac:dyDescent="0.45">
      <c r="A2" s="36" t="s">
        <v>2</v>
      </c>
      <c r="B2" s="17"/>
      <c r="C2" s="17"/>
      <c r="D2" s="17"/>
      <c r="E2" s="17"/>
      <c r="F2" s="17"/>
      <c r="G2" s="17"/>
      <c r="H2" s="17"/>
      <c r="I2" s="17"/>
      <c r="J2" s="17"/>
    </row>
    <row r="3" spans="1:16" ht="24" customHeight="1" x14ac:dyDescent="0.45">
      <c r="A3" s="34" t="s">
        <v>3</v>
      </c>
      <c r="B3" s="17"/>
      <c r="C3" s="17"/>
      <c r="D3" s="17"/>
      <c r="E3" s="17"/>
      <c r="F3" s="17"/>
      <c r="G3" s="17"/>
      <c r="H3" s="17"/>
      <c r="I3" s="17"/>
      <c r="J3" s="17"/>
    </row>
    <row r="4" spans="1:16" ht="8" customHeight="1" x14ac:dyDescent="0.45"/>
    <row r="5" spans="1:16" ht="20" customHeight="1" x14ac:dyDescent="0.45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6" ht="34.049999999999997" customHeight="1" x14ac:dyDescent="0.4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1:16" ht="66" customHeight="1" x14ac:dyDescent="0.45">
      <c r="A7" s="2" t="s">
        <v>15</v>
      </c>
      <c r="B7" s="3" t="s">
        <v>16</v>
      </c>
      <c r="C7" s="4" t="s">
        <v>17</v>
      </c>
      <c r="D7" s="5" t="s">
        <v>18</v>
      </c>
      <c r="E7" s="6" t="s">
        <v>19</v>
      </c>
      <c r="F7" s="5" t="s">
        <v>20</v>
      </c>
      <c r="G7" s="7" t="s">
        <v>21</v>
      </c>
      <c r="H7" s="5" t="s">
        <v>22</v>
      </c>
      <c r="I7" s="8" t="s">
        <v>23</v>
      </c>
      <c r="J7" s="9" t="s">
        <v>24</v>
      </c>
      <c r="K7">
        <v>36</v>
      </c>
      <c r="L7">
        <v>9</v>
      </c>
      <c r="M7">
        <v>12</v>
      </c>
      <c r="N7">
        <v>15</v>
      </c>
      <c r="O7">
        <v>8</v>
      </c>
      <c r="P7">
        <f>SUM(K7:O7)</f>
        <v>80</v>
      </c>
    </row>
    <row r="8" spans="1:16" ht="66" customHeight="1" x14ac:dyDescent="0.45">
      <c r="A8" s="2" t="s">
        <v>25</v>
      </c>
      <c r="B8" s="10" t="s">
        <v>26</v>
      </c>
      <c r="C8" s="11" t="s">
        <v>27</v>
      </c>
      <c r="D8" s="5" t="s">
        <v>18</v>
      </c>
      <c r="E8" s="5" t="s">
        <v>20</v>
      </c>
      <c r="F8" s="12" t="s">
        <v>28</v>
      </c>
      <c r="G8" s="5" t="s">
        <v>20</v>
      </c>
      <c r="H8" s="5" t="s">
        <v>22</v>
      </c>
      <c r="I8" s="13" t="s">
        <v>29</v>
      </c>
      <c r="J8" s="9" t="s">
        <v>24</v>
      </c>
      <c r="K8">
        <v>36</v>
      </c>
      <c r="L8">
        <v>12</v>
      </c>
      <c r="M8">
        <v>6</v>
      </c>
      <c r="N8">
        <v>12</v>
      </c>
      <c r="O8">
        <v>8</v>
      </c>
      <c r="P8">
        <f>SUM(K8:O8)</f>
        <v>74</v>
      </c>
    </row>
    <row r="9" spans="1:16" ht="66" customHeight="1" x14ac:dyDescent="0.45">
      <c r="A9" s="2" t="s">
        <v>30</v>
      </c>
      <c r="B9" s="3" t="s">
        <v>31</v>
      </c>
      <c r="C9" s="4" t="s">
        <v>32</v>
      </c>
      <c r="D9" s="6" t="s">
        <v>33</v>
      </c>
      <c r="E9" s="5" t="s">
        <v>20</v>
      </c>
      <c r="F9" s="5" t="s">
        <v>20</v>
      </c>
      <c r="G9" s="7" t="s">
        <v>21</v>
      </c>
      <c r="H9" s="5" t="s">
        <v>22</v>
      </c>
      <c r="I9" s="13" t="s">
        <v>29</v>
      </c>
      <c r="J9" s="9" t="s">
        <v>24</v>
      </c>
      <c r="K9">
        <v>27</v>
      </c>
      <c r="L9">
        <v>12</v>
      </c>
      <c r="M9">
        <v>12</v>
      </c>
      <c r="N9">
        <v>15</v>
      </c>
      <c r="O9">
        <v>8</v>
      </c>
      <c r="P9">
        <f>SUM(K9:O9)</f>
        <v>74</v>
      </c>
    </row>
    <row r="10" spans="1:16" ht="66" customHeight="1" x14ac:dyDescent="0.45">
      <c r="A10" s="2" t="s">
        <v>34</v>
      </c>
      <c r="B10" s="10" t="s">
        <v>35</v>
      </c>
      <c r="C10" s="11" t="s">
        <v>36</v>
      </c>
      <c r="D10" s="7" t="s">
        <v>37</v>
      </c>
      <c r="E10" s="12" t="s">
        <v>28</v>
      </c>
      <c r="F10" s="14" t="s">
        <v>38</v>
      </c>
      <c r="G10" s="12" t="s">
        <v>28</v>
      </c>
      <c r="H10" s="5" t="s">
        <v>22</v>
      </c>
      <c r="I10" s="15" t="s">
        <v>39</v>
      </c>
      <c r="J10" s="9" t="s">
        <v>24</v>
      </c>
      <c r="K10">
        <v>45</v>
      </c>
      <c r="L10">
        <v>6</v>
      </c>
      <c r="M10">
        <v>3</v>
      </c>
      <c r="N10">
        <v>6</v>
      </c>
      <c r="O10">
        <v>8</v>
      </c>
      <c r="P10">
        <f>SUM(K10:O10)</f>
        <v>68</v>
      </c>
    </row>
    <row r="11" spans="1:16" ht="66" customHeight="1" x14ac:dyDescent="0.45">
      <c r="A11" s="2" t="s">
        <v>40</v>
      </c>
      <c r="B11" s="3" t="s">
        <v>41</v>
      </c>
      <c r="C11" s="4" t="s">
        <v>42</v>
      </c>
      <c r="D11" s="6" t="s">
        <v>33</v>
      </c>
      <c r="E11" s="5" t="s">
        <v>20</v>
      </c>
      <c r="F11" s="12" t="s">
        <v>28</v>
      </c>
      <c r="G11" s="7" t="s">
        <v>21</v>
      </c>
      <c r="H11" s="5" t="s">
        <v>22</v>
      </c>
      <c r="I11" s="15" t="s">
        <v>39</v>
      </c>
      <c r="J11" s="9" t="s">
        <v>24</v>
      </c>
      <c r="K11">
        <v>27</v>
      </c>
      <c r="L11">
        <v>12</v>
      </c>
      <c r="M11">
        <v>6</v>
      </c>
      <c r="N11">
        <v>15</v>
      </c>
      <c r="O11">
        <v>8</v>
      </c>
      <c r="P11">
        <f>SUM(K11:O11)</f>
        <v>68</v>
      </c>
    </row>
    <row r="12" spans="1:16" ht="10.050000000000001" customHeight="1" x14ac:dyDescent="0.45"/>
    <row r="13" spans="1:16" ht="20" customHeight="1" x14ac:dyDescent="0.45">
      <c r="A13" s="16" t="s">
        <v>43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6" ht="24" customHeight="1" x14ac:dyDescent="0.45">
      <c r="A14" s="30" t="s">
        <v>44</v>
      </c>
      <c r="B14" s="19"/>
      <c r="C14" s="30" t="s">
        <v>45</v>
      </c>
      <c r="D14" s="19"/>
      <c r="E14" s="19"/>
      <c r="F14" s="19"/>
      <c r="G14" s="30" t="s">
        <v>46</v>
      </c>
      <c r="H14" s="19"/>
      <c r="I14" s="19"/>
      <c r="J14" s="19"/>
    </row>
    <row r="15" spans="1:16" ht="44" customHeight="1" x14ac:dyDescent="0.45">
      <c r="A15" s="21" t="s">
        <v>47</v>
      </c>
      <c r="B15" s="19"/>
      <c r="C15" s="20" t="s">
        <v>48</v>
      </c>
      <c r="D15" s="19"/>
      <c r="E15" s="19"/>
      <c r="F15" s="19"/>
      <c r="G15" s="25" t="s">
        <v>49</v>
      </c>
      <c r="H15" s="19"/>
      <c r="I15" s="19"/>
      <c r="J15" s="19"/>
    </row>
    <row r="16" spans="1:16" ht="44" customHeight="1" x14ac:dyDescent="0.45">
      <c r="A16" s="21" t="s">
        <v>50</v>
      </c>
      <c r="B16" s="19"/>
      <c r="C16" s="20" t="s">
        <v>51</v>
      </c>
      <c r="D16" s="19"/>
      <c r="E16" s="19"/>
      <c r="F16" s="19"/>
      <c r="G16" s="25" t="s">
        <v>52</v>
      </c>
      <c r="H16" s="19"/>
      <c r="I16" s="19"/>
      <c r="J16" s="19"/>
    </row>
    <row r="17" spans="1:10" ht="44" customHeight="1" x14ac:dyDescent="0.45">
      <c r="A17" s="21" t="s">
        <v>53</v>
      </c>
      <c r="B17" s="19"/>
      <c r="C17" s="20" t="s">
        <v>54</v>
      </c>
      <c r="D17" s="19"/>
      <c r="E17" s="19"/>
      <c r="F17" s="19"/>
      <c r="G17" s="25" t="s">
        <v>55</v>
      </c>
      <c r="H17" s="19"/>
      <c r="I17" s="19"/>
      <c r="J17" s="19"/>
    </row>
    <row r="18" spans="1:10" ht="44" customHeight="1" x14ac:dyDescent="0.45">
      <c r="A18" s="21" t="s">
        <v>56</v>
      </c>
      <c r="B18" s="19"/>
      <c r="C18" s="20" t="s">
        <v>57</v>
      </c>
      <c r="D18" s="19"/>
      <c r="E18" s="19"/>
      <c r="F18" s="19"/>
      <c r="G18" s="25" t="s">
        <v>58</v>
      </c>
      <c r="H18" s="19"/>
      <c r="I18" s="19"/>
      <c r="J18" s="19"/>
    </row>
    <row r="19" spans="1:10" ht="44" customHeight="1" x14ac:dyDescent="0.45">
      <c r="A19" s="21" t="s">
        <v>59</v>
      </c>
      <c r="B19" s="19"/>
      <c r="C19" s="20" t="s">
        <v>60</v>
      </c>
      <c r="D19" s="19"/>
      <c r="E19" s="19"/>
      <c r="F19" s="19"/>
      <c r="G19" s="25" t="s">
        <v>61</v>
      </c>
      <c r="H19" s="19"/>
      <c r="I19" s="19"/>
      <c r="J19" s="19"/>
    </row>
    <row r="20" spans="1:10" ht="10.050000000000001" customHeight="1" x14ac:dyDescent="0.45"/>
    <row r="21" spans="1:10" ht="20" customHeight="1" x14ac:dyDescent="0.45">
      <c r="A21" s="16" t="s">
        <v>62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30" customHeight="1" x14ac:dyDescent="0.45">
      <c r="A22" s="33" t="s">
        <v>63</v>
      </c>
      <c r="B22" s="19"/>
      <c r="C22" s="29" t="s">
        <v>64</v>
      </c>
      <c r="D22" s="19"/>
      <c r="E22" s="29" t="s">
        <v>64</v>
      </c>
      <c r="F22" s="19"/>
      <c r="G22" s="29" t="s">
        <v>64</v>
      </c>
      <c r="H22" s="19"/>
      <c r="I22" s="29" t="s">
        <v>65</v>
      </c>
      <c r="J22" s="19"/>
    </row>
    <row r="23" spans="1:10" ht="22.05" customHeight="1" x14ac:dyDescent="0.45">
      <c r="A23" s="31" t="s">
        <v>66</v>
      </c>
      <c r="B23" s="19"/>
      <c r="C23" s="23" t="s">
        <v>67</v>
      </c>
      <c r="D23" s="19"/>
      <c r="E23" s="23" t="s">
        <v>68</v>
      </c>
      <c r="F23" s="19"/>
      <c r="G23" s="23" t="s">
        <v>69</v>
      </c>
      <c r="H23" s="19"/>
      <c r="I23" s="23" t="s">
        <v>70</v>
      </c>
      <c r="J23" s="19"/>
    </row>
    <row r="24" spans="1:10" ht="42" customHeight="1" x14ac:dyDescent="0.45">
      <c r="A24" s="18" t="s">
        <v>71</v>
      </c>
      <c r="B24" s="19"/>
      <c r="C24" s="22" t="s">
        <v>72</v>
      </c>
      <c r="D24" s="19"/>
      <c r="E24" s="22" t="s">
        <v>73</v>
      </c>
      <c r="F24" s="19"/>
      <c r="G24" s="22" t="s">
        <v>74</v>
      </c>
      <c r="H24" s="19"/>
      <c r="I24" s="22" t="s">
        <v>75</v>
      </c>
      <c r="J24" s="19"/>
    </row>
    <row r="25" spans="1:10" ht="8" customHeight="1" x14ac:dyDescent="0.45"/>
    <row r="26" spans="1:10" ht="23" customHeight="1" x14ac:dyDescent="0.45">
      <c r="A26" s="35" t="s">
        <v>76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23" customHeight="1" x14ac:dyDescent="0.45">
      <c r="A27" s="28" t="s">
        <v>77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23" customHeight="1" x14ac:dyDescent="0.45">
      <c r="A28" s="28" t="s">
        <v>78</v>
      </c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23" customHeight="1" x14ac:dyDescent="0.45">
      <c r="A29" s="24" t="s">
        <v>79</v>
      </c>
      <c r="B29" s="17"/>
      <c r="C29" s="17"/>
      <c r="D29" s="17"/>
      <c r="E29" s="17"/>
      <c r="F29" s="17"/>
      <c r="G29" s="17"/>
      <c r="H29" s="17"/>
      <c r="I29" s="17"/>
      <c r="J29" s="17"/>
    </row>
  </sheetData>
  <autoFilter ref="A6:J11" xr:uid="{00000000-0009-0000-0000-000000000000}"/>
  <mergeCells count="44">
    <mergeCell ref="I1:J1"/>
    <mergeCell ref="A22:B22"/>
    <mergeCell ref="G18:J18"/>
    <mergeCell ref="A19:B19"/>
    <mergeCell ref="A27:J27"/>
    <mergeCell ref="A3:J3"/>
    <mergeCell ref="A21:J21"/>
    <mergeCell ref="E22:F22"/>
    <mergeCell ref="A26:J26"/>
    <mergeCell ref="G15:J15"/>
    <mergeCell ref="A2:J2"/>
    <mergeCell ref="G14:J14"/>
    <mergeCell ref="A29:J29"/>
    <mergeCell ref="G16:J16"/>
    <mergeCell ref="G23:H23"/>
    <mergeCell ref="A1:H1"/>
    <mergeCell ref="C19:F19"/>
    <mergeCell ref="A28:J28"/>
    <mergeCell ref="A13:J13"/>
    <mergeCell ref="C18:F18"/>
    <mergeCell ref="A16:B16"/>
    <mergeCell ref="G22:H22"/>
    <mergeCell ref="C15:F15"/>
    <mergeCell ref="C22:D22"/>
    <mergeCell ref="I22:J22"/>
    <mergeCell ref="A18:B18"/>
    <mergeCell ref="C14:F14"/>
    <mergeCell ref="G17:J17"/>
    <mergeCell ref="A5:J5"/>
    <mergeCell ref="A24:B24"/>
    <mergeCell ref="C17:F17"/>
    <mergeCell ref="A15:B15"/>
    <mergeCell ref="C24:D24"/>
    <mergeCell ref="E24:F24"/>
    <mergeCell ref="E23:F23"/>
    <mergeCell ref="G24:H24"/>
    <mergeCell ref="I24:J24"/>
    <mergeCell ref="C16:F16"/>
    <mergeCell ref="A14:B14"/>
    <mergeCell ref="I23:J23"/>
    <mergeCell ref="A17:B17"/>
    <mergeCell ref="A23:B23"/>
    <mergeCell ref="C23:D23"/>
    <mergeCell ref="G19:J19"/>
  </mergeCells>
  <hyperlinks>
    <hyperlink ref="J7" r:id="rId1" xr:uid="{00000000-0004-0000-0000-000000000000}"/>
    <hyperlink ref="J8" r:id="rId2" xr:uid="{00000000-0004-0000-0000-000001000000}"/>
    <hyperlink ref="J9" r:id="rId3" xr:uid="{00000000-0004-0000-0000-000002000000}"/>
    <hyperlink ref="J10" r:id="rId4" xr:uid="{00000000-0004-0000-0000-000003000000}"/>
    <hyperlink ref="J11" r:id="rId5" xr:uid="{00000000-0004-0000-0000-000004000000}"/>
  </hyperlinks>
  <pageMargins left="0.25" right="0.25" top="0.3" bottom="0.3" header="0.1" footer="0.1"/>
  <pageSetup paperSize="8" scale="80" orientation="landscape" r:id="rId6"/>
  <headerFooter>
    <oddFooter>&amp;C&amp;8 &amp;K5F6F7DMDS650 • Top 5 Literature Portfolio</oddFooter>
  </headerFooter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Top_5_Final</vt:lpstr>
      <vt:lpstr>Top_5_Final!Print_Area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MDS650 Top 5 Literature Matrix</dc:title>
  <dc:subject>Final visual decision matrix for the MDS650 RV30 literature portfolio</dc:subject>
  <dc:creator>MDS650 Literature Review</dc:creator>
  <cp:keywords>MDS650, RV30, B1, B2, QLIKE, literature review</cp:keywords>
  <cp:lastModifiedBy>Miguel Guerrero Quijano</cp:lastModifiedBy>
  <cp:lastPrinted>2026-08-11T11:27:24Z</cp:lastPrinted>
  <dcterms:created xsi:type="dcterms:W3CDTF">2026-08-11T11:27:12Z</dcterms:created>
  <dcterms:modified xsi:type="dcterms:W3CDTF">2026-08-11T11:27:24Z</dcterms:modified>
</cp:coreProperties>
</file>