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guer\Dev\MDS650-Capstone\reports\literature_top5_final_visual_20260811\"/>
    </mc:Choice>
  </mc:AlternateContent>
  <xr:revisionPtr revIDLastSave="0" documentId="13_ncr:1_{4483995E-EFF3-4FB4-9266-4ACC2DE84498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Ranking_10_Final" sheetId="1" r:id="rId1"/>
  </sheets>
  <definedNames>
    <definedName name="_xlnm._FilterDatabase" localSheetId="0" hidden="1">Ranking_10_Final!$A$6:$J$16</definedName>
    <definedName name="_xlnm.Print_Area" localSheetId="0">Ranking_10_Final!$A$1:$J$43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6" i="1" l="1"/>
  <c r="P15" i="1"/>
  <c r="P14" i="1"/>
  <c r="P13" i="1"/>
  <c r="P12" i="1"/>
  <c r="P11" i="1"/>
  <c r="P10" i="1"/>
  <c r="P9" i="1"/>
  <c r="P8" i="1"/>
  <c r="P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MDS650</author>
  </authors>
  <commentList>
    <comment ref="D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Direct project fit (45%): Alignment with the RV30 decision and the B1/B2 information sets.
Cell display: 1–5 rating and weighted points.</t>
        </r>
      </text>
    </comment>
    <comment ref="E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Data &amp; horizon (15%): Similarity of market, target, frequency and forecast horizon.
Cell display: 1–5 rating and weighted points.</t>
        </r>
      </text>
    </comment>
    <comment ref="F6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Time validity (15%): Chronological evaluation and explicit protection against future information.
Cell display: 1–5 rating and weighted points.</t>
        </r>
      </text>
    </comment>
    <comment ref="G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Method fit (15%): Compatibility of models, baselines, losses and comparison tests.
Cell display: 1–5 rating and weighted points.</t>
        </r>
      </text>
    </comment>
    <comment ref="H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Evidence strength (10%): Completeness and traceability of the audited source evidence.
Cell display: 1–5 rating and weighted points.</t>
        </r>
      </text>
    </comment>
  </commentList>
</comments>
</file>

<file path=xl/sharedStrings.xml><?xml version="1.0" encoding="utf-8"?>
<sst xmlns="http://schemas.openxmlformats.org/spreadsheetml/2006/main" count="176" uniqueCount="126">
  <si>
    <t>MDS650  |  Core Literature Portfolio</t>
  </si>
  <si>
    <t>FINAL  •  11 AUG 2026</t>
  </si>
  <si>
    <t>Complete ranking of ten audited studies  •  Top 5 remain the selected core portfolio</t>
  </si>
  <si>
    <t>PORTFOLIO LOGIC   •   B1 forecasting   •   B1 feature design   •   QLIKE &amp; time-valid evaluation   •   B2 mechanism   •   RV measurement</t>
  </si>
  <si>
    <t>FULL AUDITED RANKING  •  TOP 5 HIGHLIGHTED</t>
  </si>
  <si>
    <t>RANK / ID</t>
  </si>
  <si>
    <t>STUDY</t>
  </si>
  <si>
    <t>PRIMARY ROLE</t>
  </si>
  <si>
    <t>DIRECT FIT
45%</t>
  </si>
  <si>
    <t>DATA &amp; HORIZON
15%</t>
  </si>
  <si>
    <t>TIME VALIDITY
15%</t>
  </si>
  <si>
    <t>METHOD FIT
15%</t>
  </si>
  <si>
    <t>EVIDENCE
10%</t>
  </si>
  <si>
    <t>TOTAL / 100</t>
  </si>
  <si>
    <t>SOURCE</t>
  </si>
  <si>
    <t>#1
LIT-019</t>
  </si>
  <si>
    <t>Forecasting realized volatility: The role of implied volatility, leverage effect, overnight returns, and volatility of realized volatility</t>
  </si>
  <si>
    <t>B1 incremental forecast</t>
  </si>
  <si>
    <t>●●●●○
36 / 45</t>
  </si>
  <si>
    <t>●●●○○
9 / 15</t>
  </si>
  <si>
    <t>●●●●○
12 / 15</t>
  </si>
  <si>
    <t>●●●●●
15 / 15</t>
  </si>
  <si>
    <t>●●●●○
8 / 10</t>
  </si>
  <si>
    <t>80
CORE FIT</t>
  </si>
  <si>
    <t>OPEN PAPER</t>
  </si>
  <si>
    <t>#2
LIT-003</t>
  </si>
  <si>
    <t>Options-driven volatility forecasting</t>
  </si>
  <si>
    <t>B1 feature design</t>
  </si>
  <si>
    <t>●●○○○
6 / 15</t>
  </si>
  <si>
    <t>74
STRONG FIT</t>
  </si>
  <si>
    <t>#3
LIT-008</t>
  </si>
  <si>
    <t>Coherent Forecasting of Realized Volatility</t>
  </si>
  <si>
    <t>QLIKE and time-valid design</t>
  </si>
  <si>
    <t>●●●○○
27 / 45</t>
  </si>
  <si>
    <t>#4
LIT-016</t>
  </si>
  <si>
    <t>Volatility Information Trading in the Option Market</t>
  </si>
  <si>
    <t>B2 activity mechanism</t>
  </si>
  <si>
    <t>●●●●●
45 / 45</t>
  </si>
  <si>
    <t>●○○○○
3 / 15</t>
  </si>
  <si>
    <t>68
ROLE FIT</t>
  </si>
  <si>
    <t>#5
LIT-012</t>
  </si>
  <si>
    <t>Data-based ranking of realised volatility estimators</t>
  </si>
  <si>
    <t>RV target and loss validity</t>
  </si>
  <si>
    <t>#6
LIT-018</t>
  </si>
  <si>
    <t>Forecasting realized volatility with spillover effects: Perspectives from graph neural networks</t>
  </si>
  <si>
    <t>First reserve · temporal validity</t>
  </si>
  <si>
    <t>●●○○○
18 / 45</t>
  </si>
  <si>
    <t>●●●○○
6 / 10</t>
  </si>
  <si>
    <t>63
SUPPORTING</t>
  </si>
  <si>
    <t>#7
LIT-001</t>
  </si>
  <si>
    <t>Exploiting Intraday Decompositions in Realized Volatility Forecasting: A Forecast Reconciliation Approach</t>
  </si>
  <si>
    <t>HAR reconciliation &amp; horizons</t>
  </si>
  <si>
    <t>60
SUPPORTING</t>
  </si>
  <si>
    <t>#8
LIT-006</t>
  </si>
  <si>
    <t>Linear and nonlinear econometric models against machine learning models: realized volatility prediction</t>
  </si>
  <si>
    <t>Econometric vs ML benchmark</t>
  </si>
  <si>
    <t>●●○○○
4 / 10</t>
  </si>
  <si>
    <t>52
SUPPORTING</t>
  </si>
  <si>
    <t>#9
LIT-002</t>
  </si>
  <si>
    <t>Volatility forecasting incorporating intraday positive and negative jumps based on deep learning model</t>
  </si>
  <si>
    <t>Signed-jump DL robustness</t>
  </si>
  <si>
    <t>●○○○○
9 / 45</t>
  </si>
  <si>
    <t>39
LOW TRANSFER</t>
  </si>
  <si>
    <t>#10
LIT-010</t>
  </si>
  <si>
    <t>Machine Learning Approaches to Forecast the Realized Volatility of Crude Oil Prices</t>
  </si>
  <si>
    <t>Crude-oil ML comparison</t>
  </si>
  <si>
    <t>36
LOW TRANSFER</t>
  </si>
  <si>
    <t>FIT BANDS  •  THE TOP 5 END ABOVE THE SUPPORTING-ONLY BAND</t>
  </si>
  <si>
    <t>75–100
CORE FIT</t>
  </si>
  <si>
    <t>70–74
STRONG FIT</t>
  </si>
  <si>
    <t>65–69
ROLE FIT</t>
  </si>
  <si>
    <t>50–64
SUPPORTING</t>
  </si>
  <si>
    <t>BELOW 50
LOW TRANSFER</t>
  </si>
  <si>
    <t>CELL KEY  •  ● = one rating point out of five  •  weighted points appear below  •  darker blue = higher rating</t>
  </si>
  <si>
    <t>SELECTION LINE  •  ranks 1–5 occupy Core, Strong and Role Fit bands; ranks 6–10 remain reserve or supporting evidence.</t>
  </si>
  <si>
    <t>WHY EACH STUDY RANKS HERE</t>
  </si>
  <si>
    <t>STUDY &amp; ROLE</t>
  </si>
  <si>
    <t>CONTRIBUTION TO MDS650</t>
  </si>
  <si>
    <t>USE BOUNDARY</t>
  </si>
  <si>
    <t>#1  LIT-019
B1 incremental forecast</t>
  </si>
  <si>
    <t>Best direct test of whether implied volatility improves HAR forecasts under QLIKE.</t>
  </si>
  <si>
    <t>Daily index evidence; no trade-derived B2 or exact RV30 origin.</t>
  </si>
  <si>
    <t>#2  LIT-003
B1 feature design</t>
  </si>
  <si>
    <t>Richest asset-level option-state design: surface, term, delta and model-derived features.</t>
  </si>
  <si>
    <t>Ordinary volume is not unusual activity; transformation chronology is incomplete.</t>
  </si>
  <si>
    <t>#3  LIT-008
QLIKE and time-valid design</t>
  </si>
  <si>
    <t>Best current guide for QLIKE-aligned estimation, rolling windows and loss sensitivity.</t>
  </si>
  <si>
    <t>Method anchor only; no option information and no RV30 target.</t>
  </si>
  <si>
    <t>#4  LIT-016
B2 activity mechanism</t>
  </si>
  <si>
    <t>Only study directly linking trade-derived option demand to future underlying volatility.</t>
  </si>
  <si>
    <t>Mechanism only; no chronological OOS, QLIKE or nested B2-versus-B1 test.</t>
  </si>
  <si>
    <t>#5  LIT-012
RV target and loss validity</t>
  </si>
  <si>
    <t>Foundational authority for RV measurement, noisy proxies, QLIKE and comparison validity.</t>
  </si>
  <si>
    <t>Measurement study; not an options forecast or out-of-sample predictor study.</t>
  </si>
  <si>
    <t>#6  LIT-018
First reserve · temporal validity</t>
  </si>
  <si>
    <t>Strongest reserve for strict temporal validation and spillover robustness.</t>
  </si>
  <si>
    <t>No option information; GNN complexity is outside the frozen confirmatory design.</t>
  </si>
  <si>
    <t>#7  LIT-001
HAR reconciliation &amp; horizons</t>
  </si>
  <si>
    <t>Adds a strong HAR/QLIKE rolling design with reconciliation across horizons.</t>
  </si>
  <si>
    <t>No options or RV30; overlaps selected method anchors; final-version equivalence is unverified.</t>
  </si>
  <si>
    <t>#8  LIT-006
Econometric vs ML benchmark</t>
  </si>
  <si>
    <t>Useful broad comparison of linear, nonlinear and machine-learning RV models.</t>
  </si>
  <si>
    <t>No B1/B2; possible scaling leakage and material target/reporting inconsistencies.</t>
  </si>
  <si>
    <t>#9  LIT-002
Signed-jump DL robustness</t>
  </si>
  <si>
    <t>Adds signed intraday jump features as an optional B0 robustness idea.</t>
  </si>
  <si>
    <t>No options or QLIKE; preprocessing and tuning provenance remain incomplete.</t>
  </si>
  <si>
    <t>#10  LIT-010
Crude-oil ML comparison</t>
  </si>
  <si>
    <t>Provides a modern non-equity machine-learning comparison across forecast horizons.</t>
  </si>
  <si>
    <t>Crude-oil mismatch; possible future-aware imputation; no QLIKE and restricted data.</t>
  </si>
  <si>
    <t>HOW TO READ THE SCORE</t>
  </si>
  <si>
    <t>45%</t>
  </si>
  <si>
    <t>15%</t>
  </si>
  <si>
    <t>10%</t>
  </si>
  <si>
    <t>DIRECT PROJECT FIT</t>
  </si>
  <si>
    <t>DATA &amp; HORIZON</t>
  </si>
  <si>
    <t>TIME VALIDITY</t>
  </si>
  <si>
    <t>METHOD FIT</t>
  </si>
  <si>
    <t>EVIDENCE STRENGTH</t>
  </si>
  <si>
    <t>Alignment with the RV30 decision and the B1/B2 information sets.</t>
  </si>
  <si>
    <t>Similarity of market, target, frequency and forecast horizon.</t>
  </si>
  <si>
    <t>Chronological evaluation and explicit protection against future information.</t>
  </si>
  <si>
    <t>Compatibility of models, baselines, losses and comparison tests.</t>
  </si>
  <si>
    <t>Completeness and traceability of the audited source evidence.</t>
  </si>
  <si>
    <t>FORMULA  •  weighted points = rating ÷ 5 × criterion weight  •  total = sum of five criteria (100 maximum)</t>
  </si>
  <si>
    <t>SCOPE  •  scores rank usefulness for MDS650—not citation impact or universal paper quality.</t>
  </si>
  <si>
    <t>READING  •  the selected Top 5 form the core portfolio; ranks 6–10 remain reserve/supporting evidence; no single paper supplies the full RV30 + point-in-time B1/B2 design.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</si>
</sst>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24"/>
      <color rgb="FFFFFFFF"/>
      <name val="Aptos Display"/>
    </font>
    <font>
      <b/>
      <sz val="10"/>
      <color rgb="FFFFFFFF"/>
      <name val="Aptos"/>
    </font>
    <font>
      <sz val="12"/>
      <color rgb="FF5F6F7D"/>
      <name val="Aptos"/>
    </font>
    <font>
      <b/>
      <sz val="10"/>
      <color rgb="FF244A67"/>
      <name val="Aptos"/>
    </font>
    <font>
      <b/>
      <sz val="10"/>
      <color rgb="FF2A7F8E"/>
      <name val="Aptos"/>
    </font>
    <font>
      <b/>
      <sz val="9"/>
      <color rgb="FFFFFFFF"/>
      <name val="Aptos"/>
    </font>
    <font>
      <b/>
      <sz val="9.5"/>
      <color rgb="FF20303C"/>
      <name val="Aptos"/>
    </font>
    <font>
      <b/>
      <sz val="9"/>
      <color rgb="FF244A67"/>
      <name val="Aptos"/>
    </font>
    <font>
      <b/>
      <sz val="9"/>
      <color rgb="FF20303C"/>
      <name val="Aptos"/>
    </font>
    <font>
      <b/>
      <sz val="14"/>
      <color rgb="FFFFFFFF"/>
      <name val="Aptos Display"/>
    </font>
    <font>
      <sz val="12"/>
      <color theme="10"/>
      <name val="Calibri"/>
      <family val="2"/>
      <scheme val="minor"/>
    </font>
    <font>
      <b/>
      <u/>
      <sz val="9"/>
      <color rgb="FF2A7F8E"/>
      <name val="Aptos"/>
    </font>
    <font>
      <b/>
      <sz val="14"/>
      <color rgb="FF163E2D"/>
      <name val="Aptos Display"/>
    </font>
    <font>
      <b/>
      <sz val="12"/>
      <color rgb="FF20303C"/>
      <name val="Aptos Display"/>
    </font>
    <font>
      <b/>
      <sz val="12"/>
      <color rgb="FF604515"/>
      <name val="Aptos Display"/>
    </font>
    <font>
      <b/>
      <sz val="10"/>
      <color rgb="FF163E2D"/>
      <name val="Aptos"/>
    </font>
    <font>
      <b/>
      <sz val="10"/>
      <color rgb="FF20303C"/>
      <name val="Aptos"/>
    </font>
    <font>
      <b/>
      <sz val="10"/>
      <color rgb="FF604515"/>
      <name val="Aptos"/>
    </font>
    <font>
      <b/>
      <sz val="8.5"/>
      <color rgb="FF244A67"/>
      <name val="Aptos"/>
    </font>
    <font>
      <b/>
      <sz val="8.5"/>
      <color rgb="FF23684A"/>
      <name val="Aptos"/>
    </font>
    <font>
      <sz val="9"/>
      <color rgb="FF20303C"/>
      <name val="Aptos"/>
    </font>
    <font>
      <b/>
      <sz val="18"/>
      <color rgb="FF17324D"/>
      <name val="Aptos Display"/>
    </font>
    <font>
      <b/>
      <sz val="9"/>
      <color rgb="FF2A7F8E"/>
      <name val="Aptos"/>
    </font>
    <font>
      <sz val="8"/>
      <color rgb="FF5F6F7D"/>
      <name val="Aptos"/>
    </font>
    <font>
      <sz val="8.5"/>
      <color rgb="FF20303C"/>
      <name val="Aptos"/>
    </font>
  </fonts>
  <fills count="23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244A67"/>
      </patternFill>
    </fill>
    <fill>
      <patternFill patternType="solid">
        <fgColor rgb="FFFFFFFF"/>
      </patternFill>
    </fill>
    <fill>
      <patternFill patternType="solid">
        <fgColor rgb="FF5A89B1"/>
      </patternFill>
    </fill>
    <fill>
      <patternFill patternType="solid">
        <fgColor rgb="FFB5D2E6"/>
      </patternFill>
    </fill>
    <fill>
      <patternFill patternType="solid">
        <fgColor rgb="FF214F77"/>
      </patternFill>
    </fill>
    <fill>
      <patternFill patternType="solid">
        <fgColor rgb="FF23684A"/>
      </patternFill>
    </fill>
    <fill>
      <patternFill patternType="solid">
        <fgColor rgb="FFF4F7FA"/>
      </patternFill>
    </fill>
    <fill>
      <patternFill patternType="solid">
        <fgColor rgb="FFDCEAF4"/>
      </patternFill>
    </fill>
    <fill>
      <patternFill patternType="solid">
        <fgColor rgb="FF5A9174"/>
      </patternFill>
    </fill>
    <fill>
      <patternFill patternType="solid">
        <fgColor rgb="FFF1F4F7"/>
      </patternFill>
    </fill>
    <fill>
      <patternFill patternType="solid">
        <fgColor rgb="FFBBD7C5"/>
      </patternFill>
    </fill>
    <fill>
      <patternFill patternType="solid">
        <fgColor rgb="FF61788A"/>
      </patternFill>
    </fill>
    <fill>
      <patternFill patternType="solid">
        <fgColor rgb="FFC9D9E3"/>
      </patternFill>
    </fill>
    <fill>
      <patternFill patternType="solid">
        <fgColor rgb="FFD7E3EA"/>
      </patternFill>
    </fill>
    <fill>
      <patternFill patternType="solid">
        <fgColor rgb="FFE7EDF1"/>
      </patternFill>
    </fill>
    <fill>
      <patternFill patternType="solid">
        <fgColor rgb="FFF2D8A8"/>
      </patternFill>
    </fill>
    <fill>
      <patternFill patternType="solid">
        <fgColor rgb="FFF7E6C8"/>
      </patternFill>
    </fill>
    <fill>
      <patternFill patternType="solid">
        <fgColor rgb="FFE9F4EE"/>
      </patternFill>
    </fill>
    <fill>
      <patternFill patternType="solid">
        <fgColor rgb="FFFFF6DF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2A7F8E"/>
      </bottom>
      <diagonal/>
    </border>
    <border>
      <left style="thin">
        <color rgb="FFFFFFFF"/>
      </left>
      <right style="thin">
        <color rgb="FFFFFFFF"/>
      </right>
      <top style="thin">
        <color rgb="FF244A67"/>
      </top>
      <bottom style="thin">
        <color rgb="FF244A67"/>
      </bottom>
      <diagonal/>
    </border>
    <border>
      <left style="thin">
        <color rgb="FFD7E0E7"/>
      </left>
      <right style="thin">
        <color rgb="FFD7E0E7"/>
      </right>
      <top style="thin">
        <color rgb="FFD7E0E7"/>
      </top>
      <bottom style="thin">
        <color rgb="FFD7E0E7"/>
      </bottom>
      <diagonal/>
    </border>
    <border>
      <left style="thin">
        <color rgb="FFD7E0E7"/>
      </left>
      <right style="thin">
        <color rgb="FFD7E0E7"/>
      </right>
      <top style="medium">
        <color rgb="FF2A7F8E"/>
      </top>
      <bottom style="thin">
        <color rgb="FFD7E0E7"/>
      </bottom>
      <diagonal/>
    </border>
    <border>
      <left/>
      <right/>
      <top style="medium">
        <color rgb="FF2A7F8E"/>
      </top>
      <bottom/>
      <diagonal/>
    </border>
    <border>
      <left/>
      <right/>
      <top/>
      <bottom style="thin">
        <color rgb="FFD7E0E7"/>
      </bottom>
      <diagonal/>
    </border>
  </borders>
  <cellStyleXfs count="2">
    <xf numFmtId="0" fontId="0" fillId="0" borderId="0"/>
    <xf numFmtId="0" fontId="11" fillId="0" borderId="0"/>
  </cellStyleXfs>
  <cellXfs count="57"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8" fillId="5" borderId="3" xfId="0" applyFont="1" applyFill="1" applyBorder="1" applyAlignment="1">
      <alignment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0" fontId="7" fillId="10" borderId="3" xfId="0" applyFont="1" applyFill="1" applyBorder="1" applyAlignment="1">
      <alignment vertical="center" wrapText="1"/>
    </xf>
    <xf numFmtId="0" fontId="8" fillId="10" borderId="3" xfId="0" applyFont="1" applyFill="1" applyBorder="1" applyAlignment="1">
      <alignment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9" fillId="13" borderId="3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vertical="center" wrapText="1"/>
    </xf>
    <xf numFmtId="0" fontId="8" fillId="10" borderId="4" xfId="0" applyFont="1" applyFill="1" applyBorder="1" applyAlignment="1">
      <alignment vertical="center" wrapText="1"/>
    </xf>
    <xf numFmtId="0" fontId="9" fillId="11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14" fillId="16" borderId="4" xfId="0" applyFont="1" applyFill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14" fillId="17" borderId="3" xfId="0" applyFont="1" applyFill="1" applyBorder="1" applyAlignment="1">
      <alignment horizontal="center" vertical="center" wrapText="1"/>
    </xf>
    <xf numFmtId="0" fontId="14" fillId="18" borderId="3" xfId="0" applyFont="1" applyFill="1" applyBorder="1" applyAlignment="1">
      <alignment horizontal="center" vertical="center" wrapText="1"/>
    </xf>
    <xf numFmtId="0" fontId="15" fillId="19" borderId="3" xfId="0" applyFont="1" applyFill="1" applyBorder="1" applyAlignment="1">
      <alignment horizontal="center" vertical="center" wrapText="1"/>
    </xf>
    <xf numFmtId="0" fontId="15" fillId="20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0" xfId="0"/>
    <xf numFmtId="0" fontId="6" fillId="4" borderId="3" xfId="0" applyFont="1" applyFill="1" applyBorder="1" applyAlignment="1">
      <alignment horizontal="left" vertical="center"/>
    </xf>
    <xf numFmtId="0" fontId="0" fillId="0" borderId="3" xfId="0" applyBorder="1"/>
    <xf numFmtId="0" fontId="8" fillId="3" borderId="3" xfId="0" applyFont="1" applyFill="1" applyBorder="1" applyAlignment="1">
      <alignment horizontal="left" vertical="center" wrapText="1"/>
    </xf>
    <xf numFmtId="0" fontId="21" fillId="22" borderId="3" xfId="0" applyFont="1" applyFill="1" applyBorder="1" applyAlignment="1">
      <alignment horizontal="left" vertical="center" wrapText="1"/>
    </xf>
    <xf numFmtId="0" fontId="19" fillId="3" borderId="0" xfId="0" applyFont="1" applyFill="1" applyAlignment="1">
      <alignment horizontal="left" vertical="center"/>
    </xf>
    <xf numFmtId="0" fontId="20" fillId="21" borderId="6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21" fillId="5" borderId="3" xfId="0" applyFont="1" applyFill="1" applyBorder="1" applyAlignment="1">
      <alignment horizontal="left" vertical="center" wrapText="1"/>
    </xf>
    <xf numFmtId="0" fontId="24" fillId="10" borderId="3" xfId="0" applyFont="1" applyFill="1" applyBorder="1" applyAlignment="1">
      <alignment horizontal="center" vertical="center" wrapText="1"/>
    </xf>
    <xf numFmtId="0" fontId="23" fillId="10" borderId="3" xfId="0" applyFont="1" applyFill="1" applyBorder="1" applyAlignment="1">
      <alignment horizontal="center" vertical="center" wrapText="1"/>
    </xf>
    <xf numFmtId="0" fontId="16" fillId="14" borderId="3" xfId="0" applyFont="1" applyFill="1" applyBorder="1" applyAlignment="1">
      <alignment horizontal="center" vertical="center" wrapText="1"/>
    </xf>
    <xf numFmtId="0" fontId="17" fillId="17" borderId="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/>
    </xf>
    <xf numFmtId="0" fontId="22" fillId="10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25" fillId="10" borderId="6" xfId="0" applyFont="1" applyFill="1" applyBorder="1" applyAlignment="1">
      <alignment horizontal="left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0" fontId="2" fillId="12" borderId="3" xfId="0" applyFont="1" applyFill="1" applyBorder="1" applyAlignment="1">
      <alignment horizontal="center" vertical="center" wrapText="1"/>
    </xf>
    <xf numFmtId="0" fontId="18" fillId="19" borderId="3" xfId="0" applyFont="1" applyFill="1" applyBorder="1" applyAlignment="1">
      <alignment horizontal="center" vertical="center" wrapText="1"/>
    </xf>
    <xf numFmtId="0" fontId="20" fillId="21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4" fillId="3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7016/FEDS.2025.061" TargetMode="External"/><Relationship Id="rId13" Type="http://schemas.openxmlformats.org/officeDocument/2006/relationships/comments" Target="../comments1.xml"/><Relationship Id="rId3" Type="http://schemas.openxmlformats.org/officeDocument/2006/relationships/hyperlink" Target="https://doi.org/10.1002/for.70114" TargetMode="External"/><Relationship Id="rId7" Type="http://schemas.openxmlformats.org/officeDocument/2006/relationships/hyperlink" Target="https://doi.org/10.1093/jjfinec/nbae014" TargetMode="External"/><Relationship Id="rId12" Type="http://schemas.openxmlformats.org/officeDocument/2006/relationships/vmlDrawing" Target="../drawings/vmlDrawing1.vml"/><Relationship Id="rId2" Type="http://schemas.openxmlformats.org/officeDocument/2006/relationships/hyperlink" Target="https://doi.org/10.1080/14697688.2025.2454623" TargetMode="External"/><Relationship Id="rId1" Type="http://schemas.openxmlformats.org/officeDocument/2006/relationships/hyperlink" Target="https://doi.org/10.1002/fut.22241" TargetMode="External"/><Relationship Id="rId6" Type="http://schemas.openxmlformats.org/officeDocument/2006/relationships/hyperlink" Target="https://doi.org/10.1016/j.ijforecast.2024.09.002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doi.org/10.1016/j.jeconom.2010.12.010" TargetMode="External"/><Relationship Id="rId10" Type="http://schemas.openxmlformats.org/officeDocument/2006/relationships/hyperlink" Target="https://doi.org/10.1002/for.70107" TargetMode="External"/><Relationship Id="rId4" Type="http://schemas.openxmlformats.org/officeDocument/2006/relationships/hyperlink" Target="https://doi.org/10.1111/j.1540-6261.2008.01352.x" TargetMode="External"/><Relationship Id="rId9" Type="http://schemas.openxmlformats.org/officeDocument/2006/relationships/hyperlink" Target="https://doi.org/10.1002/for.31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showGridLines="0" tabSelected="1" zoomScale="85" workbookViewId="0">
      <pane xSplit="3" ySplit="6" topLeftCell="D7" activePane="bottomRight" state="frozen"/>
      <selection pane="topRight"/>
      <selection pane="bottomLeft"/>
      <selection pane="bottomRight" sqref="A1:H1"/>
    </sheetView>
  </sheetViews>
  <sheetFormatPr defaultRowHeight="14.25" x14ac:dyDescent="0.45"/>
  <cols>
    <col min="1" max="1" width="10" customWidth="1"/>
    <col min="2" max="2" width="43" customWidth="1"/>
    <col min="3" max="3" width="29" customWidth="1"/>
    <col min="4" max="9" width="15" customWidth="1"/>
    <col min="10" max="10" width="14" customWidth="1"/>
    <col min="11" max="16" width="13" hidden="1" customWidth="1"/>
  </cols>
  <sheetData>
    <row r="1" spans="1:16" ht="38" customHeight="1" x14ac:dyDescent="0.45">
      <c r="A1" s="38" t="s">
        <v>0</v>
      </c>
      <c r="B1" s="39"/>
      <c r="C1" s="39"/>
      <c r="D1" s="39"/>
      <c r="E1" s="39"/>
      <c r="F1" s="39"/>
      <c r="G1" s="39"/>
      <c r="H1" s="39"/>
      <c r="I1" s="47" t="s">
        <v>1</v>
      </c>
      <c r="J1" s="39"/>
    </row>
    <row r="2" spans="1:16" ht="24" customHeight="1" x14ac:dyDescent="0.45">
      <c r="A2" s="55" t="s">
        <v>2</v>
      </c>
      <c r="B2" s="31"/>
      <c r="C2" s="31"/>
      <c r="D2" s="31"/>
      <c r="E2" s="31"/>
      <c r="F2" s="31"/>
      <c r="G2" s="31"/>
      <c r="H2" s="31"/>
      <c r="I2" s="31"/>
      <c r="J2" s="31"/>
    </row>
    <row r="3" spans="1:16" ht="24" customHeight="1" x14ac:dyDescent="0.45">
      <c r="A3" s="51" t="s">
        <v>3</v>
      </c>
      <c r="B3" s="31"/>
      <c r="C3" s="31"/>
      <c r="D3" s="31"/>
      <c r="E3" s="31"/>
      <c r="F3" s="31"/>
      <c r="G3" s="31"/>
      <c r="H3" s="31"/>
      <c r="I3" s="31"/>
      <c r="J3" s="31"/>
    </row>
    <row r="4" spans="1:16" ht="8" customHeight="1" x14ac:dyDescent="0.45"/>
    <row r="5" spans="1:16" ht="20" customHeight="1" x14ac:dyDescent="0.45">
      <c r="A5" s="30" t="s">
        <v>4</v>
      </c>
      <c r="B5" s="31"/>
      <c r="C5" s="31"/>
      <c r="D5" s="31"/>
      <c r="E5" s="31"/>
      <c r="F5" s="31"/>
      <c r="G5" s="31"/>
      <c r="H5" s="31"/>
      <c r="I5" s="31"/>
      <c r="J5" s="31"/>
    </row>
    <row r="6" spans="1:16" ht="34.049999999999997" customHeight="1" x14ac:dyDescent="0.4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</row>
    <row r="7" spans="1:16" ht="58.05" customHeight="1" x14ac:dyDescent="0.45">
      <c r="A7" s="2" t="s">
        <v>15</v>
      </c>
      <c r="B7" s="3" t="s">
        <v>16</v>
      </c>
      <c r="C7" s="4" t="s">
        <v>17</v>
      </c>
      <c r="D7" s="5" t="s">
        <v>18</v>
      </c>
      <c r="E7" s="6" t="s">
        <v>19</v>
      </c>
      <c r="F7" s="5" t="s">
        <v>20</v>
      </c>
      <c r="G7" s="7" t="s">
        <v>21</v>
      </c>
      <c r="H7" s="5" t="s">
        <v>22</v>
      </c>
      <c r="I7" s="8" t="s">
        <v>23</v>
      </c>
      <c r="J7" s="9" t="s">
        <v>24</v>
      </c>
      <c r="K7">
        <v>36</v>
      </c>
      <c r="L7">
        <v>9</v>
      </c>
      <c r="M7">
        <v>12</v>
      </c>
      <c r="N7">
        <v>15</v>
      </c>
      <c r="O7">
        <v>8</v>
      </c>
      <c r="P7">
        <f t="shared" ref="P7:P16" si="0">SUM(K7:O7)</f>
        <v>80</v>
      </c>
    </row>
    <row r="8" spans="1:16" ht="58.05" customHeight="1" x14ac:dyDescent="0.45">
      <c r="A8" s="2" t="s">
        <v>25</v>
      </c>
      <c r="B8" s="10" t="s">
        <v>26</v>
      </c>
      <c r="C8" s="11" t="s">
        <v>27</v>
      </c>
      <c r="D8" s="5" t="s">
        <v>18</v>
      </c>
      <c r="E8" s="5" t="s">
        <v>20</v>
      </c>
      <c r="F8" s="12" t="s">
        <v>28</v>
      </c>
      <c r="G8" s="5" t="s">
        <v>20</v>
      </c>
      <c r="H8" s="5" t="s">
        <v>22</v>
      </c>
      <c r="I8" s="13" t="s">
        <v>29</v>
      </c>
      <c r="J8" s="9" t="s">
        <v>24</v>
      </c>
      <c r="K8">
        <v>36</v>
      </c>
      <c r="L8">
        <v>12</v>
      </c>
      <c r="M8">
        <v>6</v>
      </c>
      <c r="N8">
        <v>12</v>
      </c>
      <c r="O8">
        <v>8</v>
      </c>
      <c r="P8">
        <f t="shared" si="0"/>
        <v>74</v>
      </c>
    </row>
    <row r="9" spans="1:16" ht="58.05" customHeight="1" x14ac:dyDescent="0.45">
      <c r="A9" s="2" t="s">
        <v>30</v>
      </c>
      <c r="B9" s="3" t="s">
        <v>31</v>
      </c>
      <c r="C9" s="4" t="s">
        <v>32</v>
      </c>
      <c r="D9" s="6" t="s">
        <v>33</v>
      </c>
      <c r="E9" s="5" t="s">
        <v>20</v>
      </c>
      <c r="F9" s="5" t="s">
        <v>20</v>
      </c>
      <c r="G9" s="7" t="s">
        <v>21</v>
      </c>
      <c r="H9" s="5" t="s">
        <v>22</v>
      </c>
      <c r="I9" s="13" t="s">
        <v>29</v>
      </c>
      <c r="J9" s="9" t="s">
        <v>24</v>
      </c>
      <c r="K9">
        <v>27</v>
      </c>
      <c r="L9">
        <v>12</v>
      </c>
      <c r="M9">
        <v>12</v>
      </c>
      <c r="N9">
        <v>15</v>
      </c>
      <c r="O9">
        <v>8</v>
      </c>
      <c r="P9">
        <f t="shared" si="0"/>
        <v>74</v>
      </c>
    </row>
    <row r="10" spans="1:16" ht="58.05" customHeight="1" x14ac:dyDescent="0.45">
      <c r="A10" s="2" t="s">
        <v>34</v>
      </c>
      <c r="B10" s="10" t="s">
        <v>35</v>
      </c>
      <c r="C10" s="11" t="s">
        <v>36</v>
      </c>
      <c r="D10" s="7" t="s">
        <v>37</v>
      </c>
      <c r="E10" s="12" t="s">
        <v>28</v>
      </c>
      <c r="F10" s="14" t="s">
        <v>38</v>
      </c>
      <c r="G10" s="12" t="s">
        <v>28</v>
      </c>
      <c r="H10" s="5" t="s">
        <v>22</v>
      </c>
      <c r="I10" s="15" t="s">
        <v>39</v>
      </c>
      <c r="J10" s="9" t="s">
        <v>24</v>
      </c>
      <c r="K10">
        <v>45</v>
      </c>
      <c r="L10">
        <v>6</v>
      </c>
      <c r="M10">
        <v>3</v>
      </c>
      <c r="N10">
        <v>6</v>
      </c>
      <c r="O10">
        <v>8</v>
      </c>
      <c r="P10">
        <f t="shared" si="0"/>
        <v>68</v>
      </c>
    </row>
    <row r="11" spans="1:16" ht="58.05" customHeight="1" x14ac:dyDescent="0.45">
      <c r="A11" s="2" t="s">
        <v>40</v>
      </c>
      <c r="B11" s="3" t="s">
        <v>41</v>
      </c>
      <c r="C11" s="4" t="s">
        <v>42</v>
      </c>
      <c r="D11" s="6" t="s">
        <v>33</v>
      </c>
      <c r="E11" s="5" t="s">
        <v>20</v>
      </c>
      <c r="F11" s="12" t="s">
        <v>28</v>
      </c>
      <c r="G11" s="7" t="s">
        <v>21</v>
      </c>
      <c r="H11" s="5" t="s">
        <v>22</v>
      </c>
      <c r="I11" s="15" t="s">
        <v>39</v>
      </c>
      <c r="J11" s="9" t="s">
        <v>24</v>
      </c>
      <c r="K11">
        <v>27</v>
      </c>
      <c r="L11">
        <v>12</v>
      </c>
      <c r="M11">
        <v>6</v>
      </c>
      <c r="N11">
        <v>15</v>
      </c>
      <c r="O11">
        <v>8</v>
      </c>
      <c r="P11">
        <f t="shared" si="0"/>
        <v>68</v>
      </c>
    </row>
    <row r="12" spans="1:16" ht="58.05" customHeight="1" x14ac:dyDescent="0.45">
      <c r="A12" s="16" t="s">
        <v>43</v>
      </c>
      <c r="B12" s="17" t="s">
        <v>44</v>
      </c>
      <c r="C12" s="18" t="s">
        <v>45</v>
      </c>
      <c r="D12" s="19" t="s">
        <v>46</v>
      </c>
      <c r="E12" s="20" t="s">
        <v>20</v>
      </c>
      <c r="F12" s="21" t="s">
        <v>21</v>
      </c>
      <c r="G12" s="20" t="s">
        <v>20</v>
      </c>
      <c r="H12" s="22" t="s">
        <v>47</v>
      </c>
      <c r="I12" s="23" t="s">
        <v>48</v>
      </c>
      <c r="J12" s="24" t="s">
        <v>24</v>
      </c>
      <c r="K12">
        <v>18</v>
      </c>
      <c r="L12">
        <v>12</v>
      </c>
      <c r="M12">
        <v>15</v>
      </c>
      <c r="N12">
        <v>12</v>
      </c>
      <c r="O12">
        <v>6</v>
      </c>
      <c r="P12">
        <f t="shared" si="0"/>
        <v>63</v>
      </c>
    </row>
    <row r="13" spans="1:16" ht="58.05" customHeight="1" x14ac:dyDescent="0.45">
      <c r="A13" s="25" t="s">
        <v>49</v>
      </c>
      <c r="B13" s="3" t="s">
        <v>50</v>
      </c>
      <c r="C13" s="4" t="s">
        <v>51</v>
      </c>
      <c r="D13" s="12" t="s">
        <v>46</v>
      </c>
      <c r="E13" s="5" t="s">
        <v>20</v>
      </c>
      <c r="F13" s="5" t="s">
        <v>20</v>
      </c>
      <c r="G13" s="5" t="s">
        <v>20</v>
      </c>
      <c r="H13" s="6" t="s">
        <v>47</v>
      </c>
      <c r="I13" s="26" t="s">
        <v>52</v>
      </c>
      <c r="J13" s="9" t="s">
        <v>24</v>
      </c>
      <c r="K13">
        <v>18</v>
      </c>
      <c r="L13">
        <v>12</v>
      </c>
      <c r="M13">
        <v>12</v>
      </c>
      <c r="N13">
        <v>12</v>
      </c>
      <c r="O13">
        <v>6</v>
      </c>
      <c r="P13">
        <f t="shared" si="0"/>
        <v>60</v>
      </c>
    </row>
    <row r="14" spans="1:16" ht="58.05" customHeight="1" x14ac:dyDescent="0.45">
      <c r="A14" s="25" t="s">
        <v>53</v>
      </c>
      <c r="B14" s="10" t="s">
        <v>54</v>
      </c>
      <c r="C14" s="11" t="s">
        <v>55</v>
      </c>
      <c r="D14" s="12" t="s">
        <v>46</v>
      </c>
      <c r="E14" s="6" t="s">
        <v>19</v>
      </c>
      <c r="F14" s="6" t="s">
        <v>19</v>
      </c>
      <c r="G14" s="5" t="s">
        <v>20</v>
      </c>
      <c r="H14" s="12" t="s">
        <v>56</v>
      </c>
      <c r="I14" s="27" t="s">
        <v>57</v>
      </c>
      <c r="J14" s="9" t="s">
        <v>24</v>
      </c>
      <c r="K14">
        <v>18</v>
      </c>
      <c r="L14">
        <v>9</v>
      </c>
      <c r="M14">
        <v>9</v>
      </c>
      <c r="N14">
        <v>12</v>
      </c>
      <c r="O14">
        <v>4</v>
      </c>
      <c r="P14">
        <f t="shared" si="0"/>
        <v>52</v>
      </c>
    </row>
    <row r="15" spans="1:16" ht="58.05" customHeight="1" x14ac:dyDescent="0.45">
      <c r="A15" s="25" t="s">
        <v>58</v>
      </c>
      <c r="B15" s="3" t="s">
        <v>59</v>
      </c>
      <c r="C15" s="4" t="s">
        <v>60</v>
      </c>
      <c r="D15" s="14" t="s">
        <v>61</v>
      </c>
      <c r="E15" s="6" t="s">
        <v>19</v>
      </c>
      <c r="F15" s="6" t="s">
        <v>19</v>
      </c>
      <c r="G15" s="12" t="s">
        <v>28</v>
      </c>
      <c r="H15" s="6" t="s">
        <v>47</v>
      </c>
      <c r="I15" s="28" t="s">
        <v>62</v>
      </c>
      <c r="J15" s="9" t="s">
        <v>24</v>
      </c>
      <c r="K15">
        <v>9</v>
      </c>
      <c r="L15">
        <v>9</v>
      </c>
      <c r="M15">
        <v>9</v>
      </c>
      <c r="N15">
        <v>6</v>
      </c>
      <c r="O15">
        <v>6</v>
      </c>
      <c r="P15">
        <f t="shared" si="0"/>
        <v>39</v>
      </c>
    </row>
    <row r="16" spans="1:16" ht="58.05" customHeight="1" x14ac:dyDescent="0.45">
      <c r="A16" s="25" t="s">
        <v>63</v>
      </c>
      <c r="B16" s="10" t="s">
        <v>64</v>
      </c>
      <c r="C16" s="11" t="s">
        <v>65</v>
      </c>
      <c r="D16" s="14" t="s">
        <v>61</v>
      </c>
      <c r="E16" s="12" t="s">
        <v>28</v>
      </c>
      <c r="F16" s="12" t="s">
        <v>28</v>
      </c>
      <c r="G16" s="6" t="s">
        <v>19</v>
      </c>
      <c r="H16" s="6" t="s">
        <v>47</v>
      </c>
      <c r="I16" s="29" t="s">
        <v>66</v>
      </c>
      <c r="J16" s="9" t="s">
        <v>24</v>
      </c>
      <c r="K16">
        <v>9</v>
      </c>
      <c r="L16">
        <v>6</v>
      </c>
      <c r="M16">
        <v>6</v>
      </c>
      <c r="N16">
        <v>9</v>
      </c>
      <c r="O16">
        <v>6</v>
      </c>
      <c r="P16">
        <f t="shared" si="0"/>
        <v>36</v>
      </c>
    </row>
    <row r="17" spans="1:10" ht="8" customHeight="1" x14ac:dyDescent="0.45"/>
    <row r="18" spans="1:10" ht="20" customHeight="1" x14ac:dyDescent="0.45">
      <c r="A18" s="30" t="s">
        <v>67</v>
      </c>
      <c r="B18" s="31"/>
      <c r="C18" s="31"/>
      <c r="D18" s="31"/>
      <c r="E18" s="31"/>
      <c r="F18" s="31"/>
      <c r="G18" s="31"/>
      <c r="H18" s="31"/>
      <c r="I18" s="31"/>
      <c r="J18" s="31"/>
    </row>
    <row r="19" spans="1:10" ht="38" customHeight="1" x14ac:dyDescent="0.45">
      <c r="A19" s="50" t="s">
        <v>68</v>
      </c>
      <c r="B19" s="33"/>
      <c r="C19" s="52" t="s">
        <v>69</v>
      </c>
      <c r="D19" s="33"/>
      <c r="E19" s="43" t="s">
        <v>70</v>
      </c>
      <c r="F19" s="33"/>
      <c r="G19" s="44" t="s">
        <v>71</v>
      </c>
      <c r="H19" s="33"/>
      <c r="I19" s="53" t="s">
        <v>72</v>
      </c>
      <c r="J19" s="33"/>
    </row>
    <row r="20" spans="1:10" ht="22.05" customHeight="1" x14ac:dyDescent="0.45">
      <c r="A20" s="36" t="s">
        <v>73</v>
      </c>
      <c r="B20" s="31"/>
      <c r="C20" s="31"/>
      <c r="D20" s="31"/>
      <c r="E20" s="31"/>
      <c r="F20" s="31"/>
      <c r="G20" s="31"/>
      <c r="H20" s="31"/>
      <c r="I20" s="31"/>
      <c r="J20" s="31"/>
    </row>
    <row r="21" spans="1:10" ht="22.05" customHeight="1" x14ac:dyDescent="0.45">
      <c r="A21" s="54" t="s">
        <v>74</v>
      </c>
      <c r="B21" s="31"/>
      <c r="C21" s="31"/>
      <c r="D21" s="31"/>
      <c r="E21" s="31"/>
      <c r="F21" s="31"/>
      <c r="G21" s="31"/>
      <c r="H21" s="31"/>
      <c r="I21" s="31"/>
      <c r="J21" s="31"/>
    </row>
    <row r="22" spans="1:10" ht="8" customHeight="1" x14ac:dyDescent="0.45"/>
    <row r="23" spans="1:10" ht="20" customHeight="1" x14ac:dyDescent="0.45">
      <c r="A23" s="30" t="s">
        <v>75</v>
      </c>
      <c r="B23" s="31"/>
      <c r="C23" s="31"/>
      <c r="D23" s="31"/>
      <c r="E23" s="31"/>
      <c r="F23" s="31"/>
      <c r="G23" s="31"/>
      <c r="H23" s="31"/>
      <c r="I23" s="31"/>
      <c r="J23" s="31"/>
    </row>
    <row r="24" spans="1:10" ht="24" customHeight="1" x14ac:dyDescent="0.45">
      <c r="A24" s="32" t="s">
        <v>76</v>
      </c>
      <c r="B24" s="33"/>
      <c r="C24" s="32" t="s">
        <v>77</v>
      </c>
      <c r="D24" s="33"/>
      <c r="E24" s="33"/>
      <c r="F24" s="33"/>
      <c r="G24" s="32" t="s">
        <v>78</v>
      </c>
      <c r="H24" s="33"/>
      <c r="I24" s="33"/>
      <c r="J24" s="33"/>
    </row>
    <row r="25" spans="1:10" ht="42" customHeight="1" x14ac:dyDescent="0.45">
      <c r="A25" s="34" t="s">
        <v>79</v>
      </c>
      <c r="B25" s="33"/>
      <c r="C25" s="40" t="s">
        <v>80</v>
      </c>
      <c r="D25" s="33"/>
      <c r="E25" s="33"/>
      <c r="F25" s="33"/>
      <c r="G25" s="35" t="s">
        <v>81</v>
      </c>
      <c r="H25" s="33"/>
      <c r="I25" s="33"/>
      <c r="J25" s="33"/>
    </row>
    <row r="26" spans="1:10" ht="42" customHeight="1" x14ac:dyDescent="0.45">
      <c r="A26" s="34" t="s">
        <v>82</v>
      </c>
      <c r="B26" s="33"/>
      <c r="C26" s="40" t="s">
        <v>83</v>
      </c>
      <c r="D26" s="33"/>
      <c r="E26" s="33"/>
      <c r="F26" s="33"/>
      <c r="G26" s="35" t="s">
        <v>84</v>
      </c>
      <c r="H26" s="33"/>
      <c r="I26" s="33"/>
      <c r="J26" s="33"/>
    </row>
    <row r="27" spans="1:10" ht="42" customHeight="1" x14ac:dyDescent="0.45">
      <c r="A27" s="34" t="s">
        <v>85</v>
      </c>
      <c r="B27" s="33"/>
      <c r="C27" s="40" t="s">
        <v>86</v>
      </c>
      <c r="D27" s="33"/>
      <c r="E27" s="33"/>
      <c r="F27" s="33"/>
      <c r="G27" s="35" t="s">
        <v>87</v>
      </c>
      <c r="H27" s="33"/>
      <c r="I27" s="33"/>
      <c r="J27" s="33"/>
    </row>
    <row r="28" spans="1:10" ht="42" customHeight="1" x14ac:dyDescent="0.45">
      <c r="A28" s="34" t="s">
        <v>88</v>
      </c>
      <c r="B28" s="33"/>
      <c r="C28" s="40" t="s">
        <v>89</v>
      </c>
      <c r="D28" s="33"/>
      <c r="E28" s="33"/>
      <c r="F28" s="33"/>
      <c r="G28" s="35" t="s">
        <v>90</v>
      </c>
      <c r="H28" s="33"/>
      <c r="I28" s="33"/>
      <c r="J28" s="33"/>
    </row>
    <row r="29" spans="1:10" ht="42" customHeight="1" x14ac:dyDescent="0.45">
      <c r="A29" s="34" t="s">
        <v>91</v>
      </c>
      <c r="B29" s="33"/>
      <c r="C29" s="40" t="s">
        <v>92</v>
      </c>
      <c r="D29" s="33"/>
      <c r="E29" s="33"/>
      <c r="F29" s="33"/>
      <c r="G29" s="35" t="s">
        <v>93</v>
      </c>
      <c r="H29" s="33"/>
      <c r="I29" s="33"/>
      <c r="J29" s="33"/>
    </row>
    <row r="30" spans="1:10" ht="42" customHeight="1" x14ac:dyDescent="0.45">
      <c r="A30" s="34" t="s">
        <v>94</v>
      </c>
      <c r="B30" s="33"/>
      <c r="C30" s="40" t="s">
        <v>95</v>
      </c>
      <c r="D30" s="33"/>
      <c r="E30" s="33"/>
      <c r="F30" s="33"/>
      <c r="G30" s="35" t="s">
        <v>96</v>
      </c>
      <c r="H30" s="33"/>
      <c r="I30" s="33"/>
      <c r="J30" s="33"/>
    </row>
    <row r="31" spans="1:10" ht="42" customHeight="1" x14ac:dyDescent="0.45">
      <c r="A31" s="34" t="s">
        <v>97</v>
      </c>
      <c r="B31" s="33"/>
      <c r="C31" s="40" t="s">
        <v>98</v>
      </c>
      <c r="D31" s="33"/>
      <c r="E31" s="33"/>
      <c r="F31" s="33"/>
      <c r="G31" s="35" t="s">
        <v>99</v>
      </c>
      <c r="H31" s="33"/>
      <c r="I31" s="33"/>
      <c r="J31" s="33"/>
    </row>
    <row r="32" spans="1:10" ht="42" customHeight="1" x14ac:dyDescent="0.45">
      <c r="A32" s="34" t="s">
        <v>100</v>
      </c>
      <c r="B32" s="33"/>
      <c r="C32" s="40" t="s">
        <v>101</v>
      </c>
      <c r="D32" s="33"/>
      <c r="E32" s="33"/>
      <c r="F32" s="33"/>
      <c r="G32" s="35" t="s">
        <v>102</v>
      </c>
      <c r="H32" s="33"/>
      <c r="I32" s="33"/>
      <c r="J32" s="33"/>
    </row>
    <row r="33" spans="1:10" ht="42" customHeight="1" x14ac:dyDescent="0.45">
      <c r="A33" s="34" t="s">
        <v>103</v>
      </c>
      <c r="B33" s="33"/>
      <c r="C33" s="40" t="s">
        <v>104</v>
      </c>
      <c r="D33" s="33"/>
      <c r="E33" s="33"/>
      <c r="F33" s="33"/>
      <c r="G33" s="35" t="s">
        <v>105</v>
      </c>
      <c r="H33" s="33"/>
      <c r="I33" s="33"/>
      <c r="J33" s="33"/>
    </row>
    <row r="34" spans="1:10" ht="42" customHeight="1" x14ac:dyDescent="0.45">
      <c r="A34" s="34" t="s">
        <v>106</v>
      </c>
      <c r="B34" s="33"/>
      <c r="C34" s="40" t="s">
        <v>107</v>
      </c>
      <c r="D34" s="33"/>
      <c r="E34" s="33"/>
      <c r="F34" s="33"/>
      <c r="G34" s="35" t="s">
        <v>108</v>
      </c>
      <c r="H34" s="33"/>
      <c r="I34" s="33"/>
      <c r="J34" s="33"/>
    </row>
    <row r="35" spans="1:10" ht="10.050000000000001" customHeight="1" x14ac:dyDescent="0.45"/>
    <row r="36" spans="1:10" ht="20" customHeight="1" x14ac:dyDescent="0.45">
      <c r="A36" s="30" t="s">
        <v>109</v>
      </c>
      <c r="B36" s="31"/>
      <c r="C36" s="31"/>
      <c r="D36" s="31"/>
      <c r="E36" s="31"/>
      <c r="F36" s="31"/>
      <c r="G36" s="31"/>
      <c r="H36" s="31"/>
      <c r="I36" s="31"/>
      <c r="J36" s="31"/>
    </row>
    <row r="37" spans="1:10" ht="30" customHeight="1" x14ac:dyDescent="0.45">
      <c r="A37" s="45" t="s">
        <v>110</v>
      </c>
      <c r="B37" s="33"/>
      <c r="C37" s="46" t="s">
        <v>111</v>
      </c>
      <c r="D37" s="33"/>
      <c r="E37" s="46" t="s">
        <v>111</v>
      </c>
      <c r="F37" s="33"/>
      <c r="G37" s="46" t="s">
        <v>111</v>
      </c>
      <c r="H37" s="33"/>
      <c r="I37" s="46" t="s">
        <v>112</v>
      </c>
      <c r="J37" s="33"/>
    </row>
    <row r="38" spans="1:10" ht="22.05" customHeight="1" x14ac:dyDescent="0.45">
      <c r="A38" s="49" t="s">
        <v>113</v>
      </c>
      <c r="B38" s="33"/>
      <c r="C38" s="42" t="s">
        <v>114</v>
      </c>
      <c r="D38" s="33"/>
      <c r="E38" s="42" t="s">
        <v>115</v>
      </c>
      <c r="F38" s="33"/>
      <c r="G38" s="42" t="s">
        <v>116</v>
      </c>
      <c r="H38" s="33"/>
      <c r="I38" s="42" t="s">
        <v>117</v>
      </c>
      <c r="J38" s="33"/>
    </row>
    <row r="39" spans="1:10" ht="42" customHeight="1" x14ac:dyDescent="0.45">
      <c r="A39" s="56" t="s">
        <v>118</v>
      </c>
      <c r="B39" s="33"/>
      <c r="C39" s="41" t="s">
        <v>119</v>
      </c>
      <c r="D39" s="33"/>
      <c r="E39" s="41" t="s">
        <v>120</v>
      </c>
      <c r="F39" s="33"/>
      <c r="G39" s="41" t="s">
        <v>121</v>
      </c>
      <c r="H39" s="33"/>
      <c r="I39" s="41" t="s">
        <v>122</v>
      </c>
      <c r="J39" s="33"/>
    </row>
    <row r="40" spans="1:10" ht="8" customHeight="1" x14ac:dyDescent="0.45"/>
    <row r="41" spans="1:10" ht="23" customHeight="1" x14ac:dyDescent="0.45">
      <c r="A41" s="48" t="s">
        <v>123</v>
      </c>
      <c r="B41" s="31"/>
      <c r="C41" s="31"/>
      <c r="D41" s="31"/>
      <c r="E41" s="31"/>
      <c r="F41" s="31"/>
      <c r="G41" s="31"/>
      <c r="H41" s="31"/>
      <c r="I41" s="31"/>
      <c r="J41" s="31"/>
    </row>
    <row r="42" spans="1:10" ht="23" customHeight="1" x14ac:dyDescent="0.45">
      <c r="A42" s="48" t="s">
        <v>124</v>
      </c>
      <c r="B42" s="31"/>
      <c r="C42" s="31"/>
      <c r="D42" s="31"/>
      <c r="E42" s="31"/>
      <c r="F42" s="31"/>
      <c r="G42" s="31"/>
      <c r="H42" s="31"/>
      <c r="I42" s="31"/>
      <c r="J42" s="31"/>
    </row>
    <row r="43" spans="1:10" ht="23" customHeight="1" x14ac:dyDescent="0.45">
      <c r="A43" s="37" t="s">
        <v>125</v>
      </c>
      <c r="B43" s="31"/>
      <c r="C43" s="31"/>
      <c r="D43" s="31"/>
      <c r="E43" s="31"/>
      <c r="F43" s="31"/>
      <c r="G43" s="31"/>
      <c r="H43" s="31"/>
      <c r="I43" s="31"/>
      <c r="J43" s="31"/>
    </row>
  </sheetData>
  <autoFilter ref="A6:J16" xr:uid="{00000000-0009-0000-0000-000000000000}"/>
  <mergeCells count="66">
    <mergeCell ref="A42:J42"/>
    <mergeCell ref="A39:B39"/>
    <mergeCell ref="A34:B34"/>
    <mergeCell ref="G34:J34"/>
    <mergeCell ref="C37:D37"/>
    <mergeCell ref="A2:J2"/>
    <mergeCell ref="C27:F27"/>
    <mergeCell ref="E37:F37"/>
    <mergeCell ref="A31:B31"/>
    <mergeCell ref="I39:J39"/>
    <mergeCell ref="C39:D39"/>
    <mergeCell ref="I1:J1"/>
    <mergeCell ref="A41:J41"/>
    <mergeCell ref="G28:J28"/>
    <mergeCell ref="A38:B38"/>
    <mergeCell ref="C31:F31"/>
    <mergeCell ref="A29:B29"/>
    <mergeCell ref="C38:D38"/>
    <mergeCell ref="I38:J38"/>
    <mergeCell ref="A18:J18"/>
    <mergeCell ref="A19:B19"/>
    <mergeCell ref="A3:J3"/>
    <mergeCell ref="C19:D19"/>
    <mergeCell ref="I19:J19"/>
    <mergeCell ref="A21:J21"/>
    <mergeCell ref="A37:B37"/>
    <mergeCell ref="G37:H37"/>
    <mergeCell ref="I37:J37"/>
    <mergeCell ref="C33:F33"/>
    <mergeCell ref="C24:F24"/>
    <mergeCell ref="A27:B27"/>
    <mergeCell ref="G27:J27"/>
    <mergeCell ref="A26:B26"/>
    <mergeCell ref="A36:J36"/>
    <mergeCell ref="A33:B33"/>
    <mergeCell ref="C26:F26"/>
    <mergeCell ref="G33:J33"/>
    <mergeCell ref="C29:F29"/>
    <mergeCell ref="A32:B32"/>
    <mergeCell ref="C25:F25"/>
    <mergeCell ref="A28:B28"/>
    <mergeCell ref="A43:J43"/>
    <mergeCell ref="A1:H1"/>
    <mergeCell ref="G25:J25"/>
    <mergeCell ref="C32:F32"/>
    <mergeCell ref="E39:F39"/>
    <mergeCell ref="C28:F28"/>
    <mergeCell ref="G32:J32"/>
    <mergeCell ref="G39:H39"/>
    <mergeCell ref="E38:F38"/>
    <mergeCell ref="G31:J31"/>
    <mergeCell ref="A25:B25"/>
    <mergeCell ref="G38:H38"/>
    <mergeCell ref="C34:F34"/>
    <mergeCell ref="E19:F19"/>
    <mergeCell ref="G19:H19"/>
    <mergeCell ref="C30:F30"/>
    <mergeCell ref="A5:J5"/>
    <mergeCell ref="A23:J23"/>
    <mergeCell ref="A24:B24"/>
    <mergeCell ref="A30:B30"/>
    <mergeCell ref="G26:J26"/>
    <mergeCell ref="G29:J29"/>
    <mergeCell ref="A20:J20"/>
    <mergeCell ref="G24:J24"/>
    <mergeCell ref="G30:J30"/>
  </mergeCells>
  <hyperlinks>
    <hyperlink ref="J7" r:id="rId1" xr:uid="{00000000-0004-0000-0000-000000000000}"/>
    <hyperlink ref="J8" r:id="rId2" xr:uid="{00000000-0004-0000-0000-000001000000}"/>
    <hyperlink ref="J9" r:id="rId3" xr:uid="{00000000-0004-0000-0000-000002000000}"/>
    <hyperlink ref="J10" r:id="rId4" xr:uid="{00000000-0004-0000-0000-000003000000}"/>
    <hyperlink ref="J11" r:id="rId5" xr:uid="{00000000-0004-0000-0000-000004000000}"/>
    <hyperlink ref="J12" r:id="rId6" xr:uid="{00000000-0004-0000-0000-000005000000}"/>
    <hyperlink ref="J13" r:id="rId7" xr:uid="{00000000-0004-0000-0000-000006000000}"/>
    <hyperlink ref="J14" r:id="rId8" xr:uid="{00000000-0004-0000-0000-000007000000}"/>
    <hyperlink ref="J15" r:id="rId9" xr:uid="{00000000-0004-0000-0000-000008000000}"/>
    <hyperlink ref="J16" r:id="rId10" xr:uid="{00000000-0004-0000-0000-000009000000}"/>
  </hyperlinks>
  <pageMargins left="0.25" right="0.25" top="0.3" bottom="0.3" header="0.1" footer="0.1"/>
  <pageSetup paperSize="8" fitToHeight="0" orientation="landscape" r:id="rId11"/>
  <headerFooter>
    <oddFooter>&amp;C&amp;8 &amp;K5F6F7DMDS650 • 10-Study Literature Ranking</oddFooter>
  </headerFooter>
  <rowBreaks count="1" manualBreakCount="1">
    <brk id="17" max="16383" man="1"/>
  </rowBreaks>
  <legacy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Ranking_10_Final</vt:lpstr>
      <vt:lpstr>Ranking_10_Final!Print_Area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MDS650 Literature Ranking: 10 Audited Studies</dc:title>
  <dc:subject>Final visual decision matrix with the selected Top 5 and supporting studies</dc:subject>
  <dc:creator>MDS650 Literature Review</dc:creator>
  <cp:keywords>MDS650, RV30, B1, B2, QLIKE, literature review</cp:keywords>
  <cp:lastModifiedBy>Miguel Guerrero Quijano</cp:lastModifiedBy>
  <cp:lastPrinted>2026-08-11T11:41:10Z</cp:lastPrinted>
  <dcterms:created xsi:type="dcterms:W3CDTF">2026-08-11T11:41:08Z</dcterms:created>
  <dcterms:modified xsi:type="dcterms:W3CDTF">2026-08-11T11:41:10Z</dcterms:modified>
</cp:coreProperties>
</file>