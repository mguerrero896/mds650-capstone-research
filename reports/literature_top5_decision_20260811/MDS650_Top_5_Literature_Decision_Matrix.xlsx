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guer\Dev\MDS650-Capstone\reports\literature_top5_decision_20260811\"/>
    </mc:Choice>
  </mc:AlternateContent>
  <xr:revisionPtr revIDLastSave="0" documentId="13_ncr:1_{B27FFCCD-B9D8-4894-B148-260E7AB97090}" xr6:coauthVersionLast="47" xr6:coauthVersionMax="47" xr10:uidLastSave="{00000000-0000-0000-0000-000000000000}"/>
  <bookViews>
    <workbookView xWindow="-98" yWindow="-98" windowWidth="28996" windowHeight="17475" xr2:uid="{00000000-000D-0000-FFFF-FFFF00000000}"/>
  </bookViews>
  <sheets>
    <sheet name="Top_5_Decision" sheetId="1" r:id="rId1"/>
    <sheet name="Field_Definitions" sheetId="2" r:id="rId2"/>
  </sheets>
  <definedNames>
    <definedName name="_xlnm.Print_Titles" localSheetId="1">Field_Definitions!$1:$5</definedName>
    <definedName name="_xlnm.Print_Titles" localSheetId="0">Top_5_Decision!$1:$6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23" i="1" l="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J24" i="1"/>
  <c r="J23" i="1"/>
  <c r="J22" i="1"/>
  <c r="J21" i="1"/>
  <c r="J20" i="1"/>
  <c r="J19" i="1"/>
  <c r="J18" i="1"/>
  <c r="J17" i="1"/>
  <c r="J16" i="1"/>
  <c r="J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 Codex</author>
  </authors>
  <commentList>
    <comment ref="E14" authorId="0" shapeId="0" xr:uid="{00000000-0006-0000-0000-000001000000}">
      <text>
        <r>
          <rPr>
            <sz val="11"/>
            <color theme="1"/>
            <rFont val="Calibri"/>
            <family val="2"/>
            <scheme val="minor"/>
          </rPr>
          <t>Maximum 45 points. This deliberately dominates because the workbook ranks usefulness for a specific research decision, not general paper quality.</t>
        </r>
      </text>
    </comment>
    <comment ref="F14" authorId="0" shapeId="0" xr:uid="{00000000-0006-0000-0000-000002000000}">
      <text>
        <r>
          <rPr>
            <sz val="11"/>
            <color theme="1"/>
            <rFont val="Calibri"/>
            <family val="2"/>
            <scheme val="minor"/>
          </rPr>
          <t>Maximum 15 points for market, raw frequency, target construction and forecast-horizon portability.</t>
        </r>
      </text>
    </comment>
    <comment ref="G14" authorId="0" shapeId="0" xr:uid="{00000000-0006-0000-0000-000003000000}">
      <text>
        <r>
          <rPr>
            <sz val="11"/>
            <color theme="1"/>
            <rFont val="Calibri"/>
            <family val="2"/>
            <scheme val="minor"/>
          </rPr>
          <t>Maximum 15 points for chronological evaluation and explicit future-information safeguards.</t>
        </r>
      </text>
    </comment>
    <comment ref="H14" authorId="0" shapeId="0" xr:uid="{00000000-0006-0000-0000-000004000000}">
      <text>
        <r>
          <rPr>
            <sz val="11"/>
            <color theme="1"/>
            <rFont val="Calibri"/>
            <family val="2"/>
            <scheme val="minor"/>
          </rPr>
          <t>Maximum 15 points for baseline, primary loss, formal comparison and model-role compatibility.</t>
        </r>
      </text>
    </comment>
    <comment ref="I14" authorId="0" shapeId="0" xr:uid="{00000000-0006-0000-0000-000005000000}">
      <text>
        <r>
          <rPr>
            <sz val="11"/>
            <color theme="1"/>
            <rFont val="Calibri"/>
            <family val="2"/>
            <scheme val="minor"/>
          </rPr>
          <t>Maximum 10 points for source authority, complete audit trail and reproducibility. Full text itself is an eligibility gate.</t>
        </r>
      </text>
    </comment>
    <comment ref="J14" authorId="0" shapeId="0" xr:uid="{00000000-0006-0000-0000-000006000000}">
      <text>
        <r>
          <rPr>
            <sz val="11"/>
            <color theme="1"/>
            <rFont val="Calibri"/>
            <family val="2"/>
            <scheme val="minor"/>
          </rPr>
          <t>Formula-derived sum of columns E:I. It is not a probability or confidence level.</t>
        </r>
      </text>
    </comment>
  </commentList>
</comments>
</file>

<file path=xl/sharedStrings.xml><?xml version="1.0" encoding="utf-8"?>
<sst xmlns="http://schemas.openxmlformats.org/spreadsheetml/2006/main" count="1434" uniqueCount="757">
  <si>
    <t>MDS650 — Top 5 Literature Decision Matrix</t>
  </si>
  <si>
    <t>FINAL SET: LIT-019, LIT-003, LIT-008, LIT-016 and LIT-012 — five complementary roles spanning B1, B2, RV measurement and QLIKE-aligned evaluation.</t>
  </si>
  <si>
    <t>CORRECTION TO THE PRIOR SHEET: LIT-002 is removed and LIT-012 is added. Full text is now an eligibility gate, not points; publication recency is not treated as methodological superiority.</t>
  </si>
  <si>
    <t>Decision confidence: HIGH under the frozen MDS650 scope and these ten audited sources; membership is stable in 6/6 constrained sensitivity scenarios. No paper exactly matches RV30 + point-in-time evidence + B1/B2 on common origins.</t>
  </si>
  <si>
    <t>FINAL TOP 5 — READ THIS FIRST</t>
  </si>
  <si>
    <t>Rank</t>
  </si>
  <si>
    <t>Study ID</t>
  </si>
  <si>
    <t>Study title</t>
  </si>
  <si>
    <t>Decision</t>
  </si>
  <si>
    <t>Required role</t>
  </si>
  <si>
    <t>Score / 100</t>
  </si>
  <si>
    <t>Score meaning</t>
  </si>
  <si>
    <t>Why selected</t>
  </si>
  <si>
    <t>Main transfer limitation</t>
  </si>
  <si>
    <t>Evidence status</t>
  </si>
  <si>
    <t>DOI</t>
  </si>
  <si>
    <t>LIT-019</t>
  </si>
  <si>
    <t>Forecasting realized volatility: The role of implied volatility, leverage effect, overnight returns, and volatility of realized volatility</t>
  </si>
  <si>
    <t>SELECTED — primary B1 evidence</t>
  </si>
  <si>
    <t>Ordinary option-state incremental forecasting evidence</t>
  </si>
  <si>
    <t>CORE FIT</t>
  </si>
  <si>
    <t>Most direct B1 incremental-forecasting precedent: implied volatility added to HAR, rolling out-of-sample evaluation, QLIKE and formal comparison across ten indices.</t>
  </si>
  <si>
    <t>Daily index setting; no trade-derived B2; approximate 22-day implied-volatility horizon; overnight-origin timing is not fully documented.</t>
  </si>
  <si>
    <t>Version of Record PDF verified (22/22 pages)</t>
  </si>
  <si>
    <t>10.1002/fut.22241</t>
  </si>
  <si>
    <t>LIT-003</t>
  </si>
  <si>
    <t>Options-driven volatility forecasting</t>
  </si>
  <si>
    <t>SELECTED — B1 construction evidence</t>
  </si>
  <si>
    <t>Asset-level ordinary option-state feature construction</t>
  </si>
  <si>
    <t>STRONG ROLE-SPECIFIC FIT</t>
  </si>
  <si>
    <t>Best source for rich asset-level ordinary option state: implied-volatility surface, term/delta structure and option-derived features beyond a HAR baseline.</t>
  </si>
  <si>
    <t>Split chronology and train-only transformations are not reported; ordinary option volume must not be relabelled as unusual B2 activity.</t>
  </si>
  <si>
    <t>Version of Record PDF verified (29/29 pages)</t>
  </si>
  <si>
    <t>10.1080/14697688.2025.2454623</t>
  </si>
  <si>
    <t>LIT-008</t>
  </si>
  <si>
    <t>Coherent Forecasting of Realized Volatility</t>
  </si>
  <si>
    <t>SELECTED — estimation/evaluation anchor</t>
  </si>
  <si>
    <t>QLIKE-aligned estimation and rolling evaluation</t>
  </si>
  <si>
    <t>Best current anchor for aligning estimation with QLIKE evaluation, testing MSE sensitivity and using rolling windows with public replication materials.</t>
  </si>
  <si>
    <t>No options and no RV30 target; exact PDF binary was unavailable, although complete publisher content and replication files were audited.</t>
  </si>
  <si>
    <t>Complete publisher content verified; 12/16 pages direct and 4/16 cross-source; PDF unavailable</t>
  </si>
  <si>
    <t>10.1002/for.70114</t>
  </si>
  <si>
    <t>LIT-016</t>
  </si>
  <si>
    <t>Volatility Information Trading in the Option Market</t>
  </si>
  <si>
    <t>SELECTED — B2 mechanism only</t>
  </si>
  <si>
    <t>Trade-derived option-activity mechanism</t>
  </si>
  <si>
    <t>Only audited paper that directly motivates B2 through investor-class option demand, direction and concentration preceding future underlying volatility.</t>
  </si>
  <si>
    <t>Mechanism evidence only: no chronological holdout, HAR/QLIKE benchmark or nested B2-versus-B1 test; old proprietary data.</t>
  </si>
  <si>
    <t>Version of Record PDF verified (33/33 pages)</t>
  </si>
  <si>
    <t>10.1111/j.1540-6261.2008.01352.x</t>
  </si>
  <si>
    <t>LIT-012</t>
  </si>
  <si>
    <t>Data-based ranking of realised volatility estimators</t>
  </si>
  <si>
    <t>SELECTED — target/loss validity anchor</t>
  </si>
  <si>
    <t>Realized-volatility target, proxy and loss validity</t>
  </si>
  <si>
    <t>Unique foundation for RV measurement, microstructure sensitivity, imperfect volatility proxies, QLIKE and multiple-comparison control.</t>
  </si>
  <si>
    <t>Estimator-ranking study, not an out-of-sample predictor study; one stock and no options; future leads are evaluation-only.</t>
  </si>
  <si>
    <t>Final publisher PDF verified (20/20 pages)</t>
  </si>
  <si>
    <t>10.1016/j.jeconom.2010.12.010</t>
  </si>
  <si>
    <t>ALL 10 CANDIDATES — COMPLETE BASE SCORING</t>
  </si>
  <si>
    <t>Score rank</t>
  </si>
  <si>
    <t>Final selection</t>
  </si>
  <si>
    <t>Direct fit
(max 45)</t>
  </si>
  <si>
    <t>Target/data/horizon
(max 15)</t>
  </si>
  <si>
    <t>Temporal validation/leakage
(max 15)</t>
  </si>
  <si>
    <t>Method/evaluation
(max 15)</t>
  </si>
  <si>
    <t>Evidence reliability
(max 10)</t>
  </si>
  <si>
    <t>Total / 100</t>
  </si>
  <si>
    <t>Primary portfolio role</t>
  </si>
  <si>
    <t>Decision explanation</t>
  </si>
  <si>
    <t>Main caveat</t>
  </si>
  <si>
    <t>Evidence locator</t>
  </si>
  <si>
    <t>SELECTED</t>
  </si>
  <si>
    <t>Aim pp.1–2; RV/HAR pp.3–4; extensions/evaluation pp.4–6; data p.6/1623; main QLIKE pp.7–10; stability pp.11–14; GW pp.15–16; VaR pp.17–19; conclusion/data statement p.20; references pp.20–22.</t>
  </si>
  <si>
    <t>PDF pp.2–4 motivation; pp.4–11 equations/options models; pp.12–16 data/validation/features; pp.17–25 Tables 3–7/results; pp.26–29 limitations, references, appendices.</t>
  </si>
  <si>
    <t>Article pp.1–2 motivation; p.3 losses; p.4 HAR M-estimation; p.5 models/horizons/windows/tests; pp.6–8 simulations; p.9 sample; p.10 counts; pp.11–12 conclusion/data; pp.13–16 references/appendix cross-checked with official replication files.</t>
  </si>
  <si>
    <t>Abstract p.1; introduction pp.2–5; demand Eq.1 p.6; prediction Eq.2 pp.7–8; IV impact pp.9–10; data pp.11–17; results pp.20–30; conclusion p.31.</t>
  </si>
  <si>
    <t>Estimand p.1/284; simple RV p.2/285; MSE/QLIKE/proxy p.3/286; identification pp.4–6; simulations pp.6–9; IBM pp.9–10; rankings pp.11–15; conclusion/proofs pp.16–19.</t>
  </si>
  <si>
    <t>FIRST RESERVE</t>
  </si>
  <si>
    <t>LIT-018</t>
  </si>
  <si>
    <t>Forecasting realized volatility with spillover effects: Perspectives from graph neural networks</t>
  </si>
  <si>
    <t>SUPPORTING ONLY</t>
  </si>
  <si>
    <t>First reserve: strict temporal validation and spillover robustness</t>
  </si>
  <si>
    <t>Excellent temporal design, but it contains no option information and its GNN/spillover role is redundant after LIT-008 is selected.</t>
  </si>
  <si>
    <t>No options; accepted manuscript rather than verified Version of Record; graph complexity is outside the frozen confirmatory design.</t>
  </si>
  <si>
    <t>Accepted manuscript verified (41/41 pages); final-version equivalence not verified</t>
  </si>
  <si>
    <t>10.1016/j.ijforecast.2024.09.002</t>
  </si>
  <si>
    <t>Questions pp.2–4; models pp.7–14; data/split pp.15–16; main results p.17; regimes pp.18–21; nonlinearity p.22; multi-hop pp.23–25; robustness pp.26–27; hyperparameters pp.38–39; appendix pp.39–41.</t>
  </si>
  <si>
    <t>NOT SELECTED</t>
  </si>
  <si>
    <t>LIT-001</t>
  </si>
  <si>
    <t>Exploiting Intraday Decompositions in Realized Volatility Forecasting: A Forecast Reconciliation Approach</t>
  </si>
  <si>
    <t>Supplementary HAR, reconciliation and multi-horizon design</t>
  </si>
  <si>
    <t>Strong HAR/QLIKE rolling design, but it contains no options and overlaps LIT-008/LIT-012; audited source is a preprint with reporting defects.</t>
  </si>
  <si>
    <t>No options/RV30; preprint-to-final equivalence not verified; overlapping horizons lack reported purge and several table/reporting defects remain.</t>
  </si>
  <si>
    <t>Complete preprint verified (66/66 pages); final-version equivalence not verified</t>
  </si>
  <si>
    <t>10.1093/jjfinec/nbae014</t>
  </si>
  <si>
    <t>RQ: PDF pp.19,31. Data: pp.12–13 and Appendix pp.36–43. Definitions: pp.8–11. Models: pp.14–16. Validation/metrics: pp.17–20. Main results: pp.20–30. Full Appendix results: pp.54–66.</t>
  </si>
  <si>
    <t>LIT-006</t>
  </si>
  <si>
    <t>Linear and nonlinear econometric models against machine learning models: realized volatility prediction</t>
  </si>
  <si>
    <t>Supplementary econometric-versus-machine-learning comparison</t>
  </si>
  <si>
    <t>Broad model comparison, but no B1/B2 evidence, possible preprocessing leakage, preliminary status and material internal inconsistencies.</t>
  </si>
  <si>
    <t>Possible test-sample scaling leakage, no point-in-time macro vintages, single index and material target/reporting inconsistencies.</t>
  </si>
  <si>
    <t>Official working-paper PDF verified (68/68 pages); internal inconsistencies</t>
  </si>
  <si>
    <t>10.17016/FEDS.2025.061</t>
  </si>
  <si>
    <t>Bibliography p.1; data/target pp.9–10; models pp.11–21; validation pp.22 and 49–52; metrics pp.53–55; baseline results pp.25–41; expanded pp.56–66; long sequence pp.67–68.</t>
  </si>
  <si>
    <t>LIT-002</t>
  </si>
  <si>
    <t>Volatility forecasting incorporating intraday positive and negative jumps based on deep learning model</t>
  </si>
  <si>
    <t>LOW DIRECT TRANSFER</t>
  </si>
  <si>
    <t>Supplementary signed-jump feature robustness</t>
  </si>
  <si>
    <t>Signed jumps are an optional B0 robustness feature; no options, no QLIKE and insufficient proof of train-only preprocessing or nested tuning.</t>
  </si>
  <si>
    <t>Single index; fixed holdout only; preprocessing/tuning provenance incomplete; publisher PDF binary unavailable.</t>
  </si>
  <si>
    <t>Complete page-marked web text verified (17/17); PDF binary unavailable</t>
  </si>
  <si>
    <t>10.1002/for.3146</t>
  </si>
  <si>
    <t>Preview pp.1–2 objective; pp.3–5 equations/methods; pp.6–8 sample/split; pp.9–13 Tables 3–8; pp.14–15 VaR/conclusion; pp.16–17 references/biographies.</t>
  </si>
  <si>
    <t>LIT-010</t>
  </si>
  <si>
    <t>Machine Learning Approaches to Forecast the Realized Volatility of Crude Oil Prices</t>
  </si>
  <si>
    <t>Supplementary non-equity model comparison</t>
  </si>
  <si>
    <t>The WTI market, absence of QLIKE, forward-imputation risk and restricted data make transfer weaker than every selected role anchor.</t>
  </si>
  <si>
    <t>Commodity-market mismatch; possible future-aware imputation; no QLIKE; restricted dataset and reporting inconsistencies.</t>
  </si>
  <si>
    <t>Publisher-formatted PDF verified (19/19 pages)</t>
  </si>
  <si>
    <t>10.1002/for.70107</t>
  </si>
  <si>
    <t>RV pp.2–3; models pp.3–5; predictors pp.5–7; rolling/imputation p.7; one-day pp.8–10; longer horizons pp.10–13; availability p.14; hyperparameters/importance pp.18–19.</t>
  </si>
  <si>
    <t>WHY THE PRIOR SCORE WAS REBUILT</t>
  </si>
  <si>
    <t>Previous element</t>
  </si>
  <si>
    <t>Prior treatment</t>
  </si>
  <si>
    <t>Revised treatment</t>
  </si>
  <si>
    <t>Reason</t>
  </si>
  <si>
    <t>Decision impact</t>
  </si>
  <si>
    <t>Audit result</t>
  </si>
  <si>
    <t>Full-text status</t>
  </si>
  <si>
    <t>10 score points</t>
  </si>
  <si>
    <t>Hard eligibility gate</t>
  </si>
  <si>
    <t>All ten candidates now have complete audited text, so this criterion has no discriminating power.</t>
  </si>
  <si>
    <t>Prevents free points from inflating every selected study.</t>
  </si>
  <si>
    <t>PASS</t>
  </si>
  <si>
    <t>Publication recency</t>
  </si>
  <si>
    <t>Context only; not scored</t>
  </si>
  <si>
    <t>Newer does not automatically mean more valid or more useful. Foundational target/loss evidence remains essential.</t>
  </si>
  <si>
    <t>Allows LIT-012 to compete on scientific relevance.</t>
  </si>
  <si>
    <t>Question relevance</t>
  </si>
  <si>
    <t>One broad 30-point value</t>
  </si>
  <si>
    <t>Direct project fit plus separate transfer criteria</t>
  </si>
  <si>
    <t>The prior column mixed B1/B2 relevance with target and horizon similarity.</t>
  </si>
  <si>
    <t>Makes option mechanisms distinguishable from generic RV methods.</t>
  </si>
  <si>
    <t>Out-of-sample design</t>
  </si>
  <si>
    <t>Score with limited leakage detail</t>
  </si>
  <si>
    <t>Temporal validation plus explicit leakage risk</t>
  </si>
  <si>
    <t>Chronology alone does not prove train-only preprocessing or point-in-time availability.</t>
  </si>
  <si>
    <t>Reduces inflated scores for LIT-003 and LIT-002.</t>
  </si>
  <si>
    <t>Candidate universe</t>
  </si>
  <si>
    <t>Only five preselected papers scored</t>
  </si>
  <si>
    <t>All ten candidates scored</t>
  </si>
  <si>
    <t>A valid ranking must compare selected and rejected candidates under the same rubric.</t>
  </si>
  <si>
    <t>Exposes the omission of LIT-012.</t>
  </si>
  <si>
    <t>Color scale</t>
  </si>
  <si>
    <t>Relative min/median/max among five</t>
  </si>
  <si>
    <t>Absolute labeled bands</t>
  </si>
  <si>
    <t>Relative colors change with the displayed rows and cannot represent pass/fail quality.</t>
  </si>
  <si>
    <t>Colors now have stable reader-visible meaning.</t>
  </si>
  <si>
    <t>Tie handling</t>
  </si>
  <si>
    <t>No declared rule</t>
  </si>
  <si>
    <t>Direct fit → temporal validity → evidence reliability → Study ID</t>
  </si>
  <si>
    <t>Equal totals must not receive arbitrary ranks.</t>
  </si>
  <si>
    <t>Resolves 74-point and 68-point ties reproducibly.</t>
  </si>
  <si>
    <t>HOW THE SCORE WORKS — FROZEN RUBRIC</t>
  </si>
  <si>
    <t>Criterion</t>
  </si>
  <si>
    <t>Weight</t>
  </si>
  <si>
    <t>What it asks</t>
  </si>
  <si>
    <t>Rating 0</t>
  </si>
  <si>
    <t>Rating 1</t>
  </si>
  <si>
    <t>Rating 2</t>
  </si>
  <si>
    <t>Rating 3</t>
  </si>
  <si>
    <t>Rating 4</t>
  </si>
  <si>
    <t>Rating 5</t>
  </si>
  <si>
    <t>Direct fit to the MDS650 decision</t>
  </si>
  <si>
    <t>How directly does the study inform the RV30 decision and the ordinary-option-state versus trade-derived option-activity comparison?
WHY THIS WEIGHT: This is a project-specific literature selection, not a general paper-quality ranking; direct relevance must dominate.</t>
  </si>
  <si>
    <t>No material relationship.</t>
  </si>
  <si>
    <t>Peripheral volatility or model evidence only.</t>
  </si>
  <si>
    <t>Indirect realized-volatility method; no option-information evidence.</t>
  </si>
  <si>
    <t>Directly informs a binding target, loss or estimation decision.</t>
  </si>
  <si>
    <t>Direct evidence for ordinary option-state information and future realized volatility.</t>
  </si>
  <si>
    <t>Direct evidence for trade-derived option activity and future underlying volatility, or the exact nested contrast.</t>
  </si>
  <si>
    <t>Target, data and horizon comparability</t>
  </si>
  <si>
    <t>How close are the market, sampling frequency, target construction and forecast horizon to the MDS650 forward 30-minute target?
WHY THIS WEIGHT: Transfer risk depends materially on market, frequency, target and horizon, but no available paper is an exact RV30 match.</t>
  </si>
  <si>
    <t>Unrelated market and target.</t>
  </si>
  <si>
    <t>Low-frequency or substantively different target.</t>
  </si>
  <si>
    <t>High-frequency data but a materially different market or target.</t>
  </si>
  <si>
    <t>Equity/index high-frequency data and daily realized volatility.</t>
  </si>
  <si>
    <t>One- or five-minute equity data with closely related realized-volatility construction.</t>
  </si>
  <si>
    <t>Exact forward 30-minute target at the same forecast origin.</t>
  </si>
  <si>
    <t>Time-aware validation and leakage control</t>
  </si>
  <si>
    <t>Does the design preserve chronological order and protect model fitting, transformations and evaluation from future information?
WHY THIS WEIGHT: Predictive evidence is not credible when future information can enter training, tuning or preprocessing.</t>
  </si>
  <si>
    <t>No temporal ordering or unusable design.</t>
  </si>
  <si>
    <t>In-sample association only or material ex-post construction.</t>
  </si>
  <si>
    <t>Holdout/split exists, but chronology or train-only processing is incomplete.</t>
  </si>
  <si>
    <t>Chronological evaluation with material unresolved safeguards.</t>
  </si>
  <si>
    <t>Rolling or expanding out-of-sample evaluation with minor gaps.</t>
  </si>
  <si>
    <t>Strict train/validation/test chronology, train-only transforms, purge/embargo and point-in-time evidence.</t>
  </si>
  <si>
    <t>Method and evaluation compatibility</t>
  </si>
  <si>
    <t>How well do the baseline, loss, comparison tests and model roles support the frozen MDS650 evaluation design?
WHY THIS WEIGHT: The selected set must justify the baseline, primary loss and comparison discipline without transferring paper-specific winners.</t>
  </si>
  <si>
    <t>No transferable method.</t>
  </si>
  <si>
    <t>Peripheral method only.</t>
  </si>
  <si>
    <t>One useful component, but no close evaluation design.</t>
  </si>
  <si>
    <t>A relevant HAR, QLIKE or model-comparison component.</t>
  </si>
  <si>
    <t>HAR plus QLIKE and formal forecast comparison or ablation.</t>
  </si>
  <si>
    <t>Closest available match to the project loss, nested comparison and estimation/evaluation roles.</t>
  </si>
  <si>
    <t>Evidence reliability and traceability</t>
  </si>
  <si>
    <t>How authoritative, complete and reproducible is the exact source version that was audited?
WHY THIS WEIGHT: Full text is an eligibility gate; these points distinguish source authority, traceability and replication support.</t>
  </si>
  <si>
    <t>Abstract or metadata only.</t>
  </si>
  <si>
    <t>Partial text or unverified source.</t>
  </si>
  <si>
    <t>Complete text with major version, consistency or reproducibility limitations.</t>
  </si>
  <si>
    <t>Complete audited text with a material access/version or replication caveat.</t>
  </si>
  <si>
    <t>Final or Version-of-Record text with strong traceability; replication may still be restricted.</t>
  </si>
  <si>
    <t>Final authoritative text plus reusable code and data sufficient for close replication.</t>
  </si>
  <si>
    <t>FORMULA: weighted criterion points = rating ÷ 5 × criterion weight; total score = sum of the five weighted criteria. Ratings are evidence judgments, not probabilities.</t>
  </si>
  <si>
    <t>ABSOLUTE COLOR AND SCORE LEGEND</t>
  </si>
  <si>
    <t>Score range</t>
  </si>
  <si>
    <t>Label</t>
  </si>
  <si>
    <t>Color</t>
  </si>
  <si>
    <t>Meaning</t>
  </si>
  <si>
    <t>75–100</t>
  </si>
  <si>
    <t>Dark green</t>
  </si>
  <si>
    <t>Strongest overall match to the project decision.</t>
  </si>
  <si>
    <t>65–74</t>
  </si>
  <si>
    <t>Light green</t>
  </si>
  <si>
    <t>Strong for a defined role; transfer caveats still apply.</t>
  </si>
  <si>
    <t>50–64</t>
  </si>
  <si>
    <t>Amber</t>
  </si>
  <si>
    <t>Useful background or reserve evidence, not part of the five-paper backbone.</t>
  </si>
  <si>
    <t>0–49</t>
  </si>
  <si>
    <t>Coral</t>
  </si>
  <si>
    <t>Peripheral to the frozen research question or materially weak transfer.</t>
  </si>
  <si>
    <t>MANDATORY PORTFOLIO COVERAGE — WHY THESE FIVE, NOT FIVE SIMILAR PAPERS</t>
  </si>
  <si>
    <t>Required evidence function</t>
  </si>
  <si>
    <t>Selected study</t>
  </si>
  <si>
    <t>Strongest alternative</t>
  </si>
  <si>
    <t>Why the selected study wins</t>
  </si>
  <si>
    <t>Transfer boundary</t>
  </si>
  <si>
    <t>Gate status</t>
  </si>
  <si>
    <t>Ordinary option-state feature construction</t>
  </si>
  <si>
    <t>LIT-003 contains the richest asset-level implied-volatility surface and option-state feature design.</t>
  </si>
  <si>
    <t>Use feature families and comparison logic only; rebuild every feature point in time.</t>
  </si>
  <si>
    <t>Ordinary option-state incremental forecasting test</t>
  </si>
  <si>
    <t>LIT-019 provides the clearest rolling HAR-plus-implied-volatility QLIKE ablation across ten indices.</t>
  </si>
  <si>
    <t>Do not transfer daily index effect sizes to asset-level RV30.</t>
  </si>
  <si>
    <t>No direct substitute; LIT-003 ordinary volume is not unusual activity</t>
  </si>
  <si>
    <t>LIT-016 is the only audited source that directly relates investor-class option demand to future underlying volatility.</t>
  </si>
  <si>
    <t>Mechanism evidence only; it does not establish an out-of-sample B2 advantage.</t>
  </si>
  <si>
    <t>Realized-volatility target and loss validity</t>
  </si>
  <si>
    <t>LIT-012 uniquely treats measurement error, sampling choice, imperfect proxies, QLIKE and multiple comparisons.</t>
  </si>
  <si>
    <t>Use it to justify RV30 construction/evaluation, not B1/B2 predictiveness.</t>
  </si>
  <si>
    <t>LIT-008 combines one-/five-minute RV, rolling windows, QLIKE-versus-MSE alignment and public replication materials.</t>
  </si>
  <si>
    <t>No option information; exact PDF pagination remains unverified.</t>
  </si>
  <si>
    <t>SENSITIVITY CHECK — DOES THE TOP 5 SURVIVE DIFFERENT PLAUSIBLE WEIGHTS?</t>
  </si>
  <si>
    <t>Scenario</t>
  </si>
  <si>
    <t>Direct-fit weight</t>
  </si>
  <si>
    <t>Target/data/horizon</t>
  </si>
  <si>
    <t>Temporal/leakage</t>
  </si>
  <si>
    <t>Method/evaluation</t>
  </si>
  <si>
    <t>Evidence reliability</t>
  </si>
  <si>
    <t>Raw top five</t>
  </si>
  <si>
    <t>Final five after role gate</t>
  </si>
  <si>
    <t>Conclusion</t>
  </si>
  <si>
    <t>Base — project decision first</t>
  </si>
  <si>
    <t>LIT-019; LIT-003; LIT-008; LIT-016; LIT-012</t>
  </si>
  <si>
    <t>Stable without adjustment.</t>
  </si>
  <si>
    <t>Question-first stress</t>
  </si>
  <si>
    <t>LIT-019; LIT-003; LIT-016; LIT-008; LIT-012</t>
  </si>
  <si>
    <t>Validation-first stress</t>
  </si>
  <si>
    <t>LIT-019; LIT-008; LIT-018; LIT-003; LIT-001</t>
  </si>
  <si>
    <t>Raw weighting would omit the only direct B2 mechanism source; the declared role gate restores LIT-016 and keeps the evidence chain complete.</t>
  </si>
  <si>
    <t>Method-first stress</t>
  </si>
  <si>
    <t>LIT-019; LIT-008; LIT-003; LIT-012; LIT-018</t>
  </si>
  <si>
    <t>Evidence-first stress</t>
  </si>
  <si>
    <t>Balanced stress</t>
  </si>
  <si>
    <t>Sensitivity result: the same five studies remain selected in 6/6 scenarios after the predeclared role-coverage rule. Without that rule, validation-heavy weights would replace the only direct B2 mechanism paper with another no-options method paper.</t>
  </si>
  <si>
    <t>DETAILED SCORE AUDIT — EVERY RATING AND ITS EVIDENCE BASIS</t>
  </si>
  <si>
    <t>Rating (0–5)</t>
  </si>
  <si>
    <t>Weighted points</t>
  </si>
  <si>
    <t>Evidence-based justification</t>
  </si>
  <si>
    <t>The clearest direct source for testing whether ordinary implied-volatility state adds predictive information beyond HAR; it contains no B2 activity.</t>
  </si>
  <si>
    <t>Ten indices use five-minute daily realized variance; the option-implied indices reflect about 22 days and are not asset-level intraday RV30 features.</t>
  </si>
  <si>
    <t>Rolling one-step out-of-sample evaluation is chronological; exact window mechanics and the timestamp for overnight-return availability remain incomplete.</t>
  </si>
  <si>
    <t>HAR baseline, QLIKE, Model Confidence Set, Giacomini–White, stability tests and feature ablations closely match the B1 comparison logic.</t>
  </si>
  <si>
    <t>The complete 22-page Version of Record was audited; the underlying data remain licensed.</t>
  </si>
  <si>
    <t>The strongest asset-level source for ordinary option surfaces, implied-volatility structure and option-state features beyond HAR; ordinary volume is not B2.</t>
  </si>
  <si>
    <t>Sixty-six NYSE stocks, one-minute realized volatility and daily option surfaces are close to the project data, but forecasts are one day ahead.</t>
  </si>
  <si>
    <t>A 60/10/30 split is reported, but its chronology, refitting and train-only PCA/calibration transformations are not documented.</t>
  </si>
  <si>
    <t>HAR baseline, QLIKE, Diebold–Mariano, Model Confidence Set, regularized and nonlinear models directly support the B1 design.</t>
  </si>
  <si>
    <t>The complete 29-page Version of Record was audited; no public end-to-end replication package was identified.</t>
  </si>
  <si>
    <t>It directly supports a binding estimation-and-loss decision for realized volatility, although it contains no B1 or B2 features.</t>
  </si>
  <si>
    <t>Twenty-eight DJIA stocks, one- and five-minute realized-volatility measures and several horizons are close, but the target remains daily or longer.</t>
  </si>
  <si>
    <t>Multiple rolling windows and a common chronological evaluation period are used; purge, embargo and provider point-in-time controls are not reported.</t>
  </si>
  <si>
    <t>The closest source for QLIKE-aligned estimation versus MSE sensitivity, HAR benchmarks and asset/panel forecast inference.</t>
  </si>
  <si>
    <t>Complete Version-of-Record content and public replication materials were audited; the exact PDF binary/page layout was unavailable.</t>
  </si>
  <si>
    <t>The only study in the ten-paper set that directly links trade-derived option demand, direction and concentration to future underlying volatility.</t>
  </si>
  <si>
    <t>Daily option-order aggregates predict high-low volatility over the next one to five days; this is not one-minute RV30 realized variance.</t>
  </si>
  <si>
    <t>The evidence comes from pooled predictive regressions without a chronological holdout; full-sample normalization is not suitable for strict point-in-time forecasting.</t>
  </si>
  <si>
    <t>Control-rich regressions support a mechanism, but there is no HAR benchmark, QLIKE loss or B2-versus-B1 out-of-sample comparison.</t>
  </si>
  <si>
    <t>The complete 33-page Version of Record was audited; the old proprietary order dataset is not publicly reproducible.</t>
  </si>
  <si>
    <t>It directly informs the binding RV target, proxy and loss-validity decisions; it does not test B1 or B2 predictors.</t>
  </si>
  <si>
    <t>High-frequency IBM data across thirteen sampling frequencies address microstructure and realized-variation measurement, but not forward RV30 forecasting.</t>
  </si>
  <si>
    <t>The paper ranks estimators with subsamples, bootstrap and simulations rather than a forecasting holdout; future leads are explicitly ex-post evaluation devices.</t>
  </si>
  <si>
    <t>The strongest source for QLIKE/MSE under noisy volatility proxies, estimator sensitivity and multiple-comparison control.</t>
  </si>
  <si>
    <t>The complete final 20-page publisher PDF was audited with high evidence confidence; code and a modern point-in-time contract are not supplied.</t>
  </si>
  <si>
    <t>A strong realized-volatility forecasting design, but graph spillovers are underlying-market controls and do not test B1 or B2 option information.</t>
  </si>
  <si>
    <t>Twenty-seven DJIA stocks, five-minute realized variance and 1/5/22-day horizons are close in data construction, not in RV30 horizon.</t>
  </si>
  <si>
    <t>The strongest rolling train/validation/test design in the set, with next-month holdout and time-series validation; exact PIT and seed details remain incomplete.</t>
  </si>
  <si>
    <t>HAR/GHAR baselines, QLIKE/MSE training, formal comparison and depth ablation are strong supporting methods.</t>
  </si>
  <si>
    <t>All 41 accepted-manuscript pages were audited, but exact Version-of-Record equivalence and complete replication are not verified.</t>
  </si>
  <si>
    <t>Strong realized-volatility forecasting method, but no ordinary option state, trade-derived option activity or RV30 contrast.</t>
  </si>
  <si>
    <t>DJIA index plus 26 stocks, one-minute prices and daily realized variance at 1/5/22-day horizons; close data, different target horizon.</t>
  </si>
  <si>
    <t>Fixed rolling out-of-sample forecasts with lagged inputs; purge, embargo and provider point-in-time controls are not reported.</t>
  </si>
  <si>
    <t>HAR baseline, QLIKE/MSE, Diebold–Mariano, Model Confidence Set and multi-horizon robustness are transferable.</t>
  </si>
  <si>
    <t>All 66 preprint pages were audited, but Version-of-Record equivalence, code and several reporting inconsistencies remain unresolved.</t>
  </si>
  <si>
    <t>A useful B0 econometric-versus-machine-learning comparison, but it contains no per-asset option state or option-activity evidence.</t>
  </si>
  <si>
    <t>Five-minute S&amp;P 500 data and one-day realized variance are related, but the evidence is a single aggregate index and not RV30.</t>
  </si>
  <si>
    <t>Annual expanding evaluation and time-series cross-validation are present; test-sample standardization and macro-vintage handling leave leakage concerns.</t>
  </si>
  <si>
    <t>HAR, threshold/regime models, machine learning, QLIKE, MCS and risk metrics are useful methodological context.</t>
  </si>
  <si>
    <t>The official 68-page working paper was audited, but it is preliminary and contains material internal inconsistencies and no replication assets.</t>
  </si>
  <si>
    <t>Signed-jump and deep-learning evidence belongs to underlying-market controls; it contains no B1 or B2 option information.</t>
  </si>
  <si>
    <t>Five-minute Shanghai index data and daily realized volatility are useful analogues, but the market is a single non-US index and the target is daily.</t>
  </si>
  <si>
    <t>A chronological terminal holdout is reported; rolling refits, train-only normalization and independent hyperparameter selection are not established.</t>
  </si>
  <si>
    <t>It compares models and losses, but has no HAR/QLIKE information-set comparison aligned with the frozen project design.</t>
  </si>
  <si>
    <t>All 17 page-marked sections were read, but the publisher PDF and a reproducible analytical snapshot were unavailable.</t>
  </si>
  <si>
    <t>A general machine-learning/HAR comparison without equity options, ordinary option state or trade-derived activity.</t>
  </si>
  <si>
    <t>Five-minute WTI data and daily realized volatility have some technical similarity, but the commodity market and forecast endpoints differ materially.</t>
  </si>
  <si>
    <t>Rolling estimation is used, but forward imputation and incomplete nested-tuning evidence create a material future-information risk.</t>
  </si>
  <si>
    <t>HAR, regularized regression, trees, Diebold–Mariano and MCS are useful, but QLIKE is absent.</t>
  </si>
  <si>
    <t>All 19 publisher-formatted pages were audited; data are restricted and reported dates/tables contain inconsistencies.</t>
  </si>
  <si>
    <t>Boundary: this workbook selects the best five sources under the frozen MDS650 question and audited evidence. It does not claim that any paper proves the exact RV30 B2-over-B1 effect, causal information, or universal model superiority.</t>
  </si>
  <si>
    <t>MDS650 — Field Definitions, Acronyms and Evidence Statuses</t>
  </si>
  <si>
    <t>Reader-facing English definitions. Acronyms are expanded here so the decision matrix can stay concise without sacrificing interpretability.</t>
  </si>
  <si>
    <t>Primary contract: specs/001-pit-options-rv30/contracts/benchmark-evaluation-contract.md</t>
  </si>
  <si>
    <t>Important: B0, B1 and B2 are information sets, not model names. FULL_TEXT_VERIFIED identifies evidence access, not scientific truth or universal transferability.</t>
  </si>
  <si>
    <t>Category</t>
  </si>
  <si>
    <t>Field or status</t>
  </si>
  <si>
    <t>Reader-friendly label</t>
  </si>
  <si>
    <t>Definition</t>
  </si>
  <si>
    <t>Allowed values or scale</t>
  </si>
  <si>
    <t>Evidence required / use note</t>
  </si>
  <si>
    <t>Selection matrix</t>
  </si>
  <si>
    <t>rank</t>
  </si>
  <si>
    <t>Final rank</t>
  </si>
  <si>
    <t>Ordinal position after applying the frozen score and declared tie-break rule. Equal totals are resolved by direct fit, temporal validity, evidence reliability, then Study ID.</t>
  </si>
  <si>
    <t>1–10</t>
  </si>
  <si>
    <t>Frozen rubric and audit workbook</t>
  </si>
  <si>
    <t>selection_status</t>
  </si>
  <si>
    <t>Selection status</t>
  </si>
  <si>
    <t>Final portfolio decision. A selected study must also have a documented role, reason, caveat and evidence locator.</t>
  </si>
  <si>
    <t>SELECTED; NOT SELECTED; REVIEW REQUIRED; INELIGIBLE</t>
  </si>
  <si>
    <t>study_id</t>
  </si>
  <si>
    <t>Study identifier</t>
  </si>
  <si>
    <t>Stable internal identifier for one audited study. It is not a DOI or publisher identifier.</t>
  </si>
  <si>
    <t>LIT-###</t>
  </si>
  <si>
    <t>study_title</t>
  </si>
  <si>
    <t>Official title of the exact audited publication or document version.</t>
  </si>
  <si>
    <t>Text</t>
  </si>
  <si>
    <t>publication_year</t>
  </si>
  <si>
    <t>Publication year</t>
  </si>
  <si>
    <t>Publication year associated with the audited source version. Recency is reported but is not scored as methodological superiority.</t>
  </si>
  <si>
    <t>Four-digit year</t>
  </si>
  <si>
    <t>doi_url</t>
  </si>
  <si>
    <t>DOI link</t>
  </si>
  <si>
    <t>Resolvable web address formed from the Digital Object Identifier, normally using https://doi.org/.</t>
  </si>
  <si>
    <t>URL</t>
  </si>
  <si>
    <t>evidence_status</t>
  </si>
  <si>
    <t>Highest level of source material actually inspected. It describes access and version authority, not study quality.</t>
  </si>
  <si>
    <t>Documented text status</t>
  </si>
  <si>
    <t>verified_full_text</t>
  </si>
  <si>
    <t>Verified full text</t>
  </si>
  <si>
    <t>Eligibility indicator confirming that the complete readable text of the identified version was audited.</t>
  </si>
  <si>
    <t>YES or NO</t>
  </si>
  <si>
    <t>total_score</t>
  </si>
  <si>
    <t>Evidence-fit score</t>
  </si>
  <si>
    <t>Weighted decision score from 0 to 100. It is not a probability, confidence level, citation measure or statement of scientific truth.</t>
  </si>
  <si>
    <t>0–100; formula-derived</t>
  </si>
  <si>
    <t>score_band</t>
  </si>
  <si>
    <t>Score interpretation</t>
  </si>
  <si>
    <t>Absolute interpretation of the total score. The bands do not move when rows are added or removed.</t>
  </si>
  <si>
    <t>CORE FIT ≥75; STRONG 65–74; SUPPORTING 50–64; LOW TRANSFER &lt;50</t>
  </si>
  <si>
    <t>raw_rating</t>
  </si>
  <si>
    <t>Criterion rating</t>
  </si>
  <si>
    <t>Evidence-based rating before weighting. Each rating must have a written justification and source locator.</t>
  </si>
  <si>
    <t>Integer 0–5</t>
  </si>
  <si>
    <t>criterion_weight</t>
  </si>
  <si>
    <t>Criterion weight</t>
  </si>
  <si>
    <t>Predeclared share of the 100-point score assigned to one criterion.</t>
  </si>
  <si>
    <t>Weights sum to 100</t>
  </si>
  <si>
    <t>weighted_points</t>
  </si>
  <si>
    <t>Weighted criterion points</t>
  </si>
  <si>
    <t>Criterion rating divided by five and multiplied by the criterion weight.</t>
  </si>
  <si>
    <t>rating ÷ 5 × weight</t>
  </si>
  <si>
    <t>direct_fit</t>
  </si>
  <si>
    <t>How directly the study informs RV30 and the comparison between ordinary option state and trade-derived option activity.</t>
  </si>
  <si>
    <t>0–5; weight 45</t>
  </si>
  <si>
    <t>target_fit</t>
  </si>
  <si>
    <t>Similarity of market, sampling frequency, target construction and forecast horizon to the MDS650 design.</t>
  </si>
  <si>
    <t>0–5; weight 15</t>
  </si>
  <si>
    <t>temporal_fit</t>
  </si>
  <si>
    <t>Strength of chronological evaluation and protection against future information in fitting, tuning and preprocessing.</t>
  </si>
  <si>
    <t>method_fit</t>
  </si>
  <si>
    <t>Alignment of baseline, loss, statistical comparison and model roles with the frozen MDS650 method.</t>
  </si>
  <si>
    <t>evidence_fit</t>
  </si>
  <si>
    <t>Authority and completeness of the exact source version, including page-level evidence and replication support.</t>
  </si>
  <si>
    <t>0–5; weight 10</t>
  </si>
  <si>
    <t>required_portfolio_role</t>
  </si>
  <si>
    <t>Required portfolio role</t>
  </si>
  <si>
    <t>The non-redundant evidence function the study serves in the five-paper literature backbone.</t>
  </si>
  <si>
    <t>One declared role per selected paper</t>
  </si>
  <si>
    <t>selection_reason</t>
  </si>
  <si>
    <t>Selection reason</t>
  </si>
  <si>
    <t>Concise evidence-based explanation of why the paper was selected or not selected.</t>
  </si>
  <si>
    <t>Plain English</t>
  </si>
  <si>
    <t>main_caveat</t>
  </si>
  <si>
    <t>The most important limitation affecting transfer to MDS650.</t>
  </si>
  <si>
    <t>selection_stability</t>
  </si>
  <si>
    <t>Selection stability</t>
  </si>
  <si>
    <t>Number of declared sensitivity scenarios in which final membership remains unchanged after the mandatory role-coverage rule.</t>
  </si>
  <si>
    <t>0/6–6/6</t>
  </si>
  <si>
    <t>portfolio_role_gate</t>
  </si>
  <si>
    <t>Portfolio role gate</t>
  </si>
  <si>
    <t>Rule requiring the final set to cover ordinary option-state construction, B1 incremental testing, B2 mechanism, RV target/loss validity and QLIKE-aligned evaluation.</t>
  </si>
  <si>
    <t>PASS or FAIL</t>
  </si>
  <si>
    <t>score_tie_break_rule</t>
  </si>
  <si>
    <t>Score tie-break rule</t>
  </si>
  <si>
    <t>Predeclared ordering for equal totals: higher direct fit, then temporal validity, then evidence reliability, then Study ID.</t>
  </si>
  <si>
    <t>Fixed ordered rule</t>
  </si>
  <si>
    <t>full_text_eligibility_gate</t>
  </si>
  <si>
    <t>Full-text eligibility gate</t>
  </si>
  <si>
    <t>The complete readable source must have been audited before a study can be scored. Because all ten pass, this is a gate rather than score points.</t>
  </si>
  <si>
    <t>Literature audit</t>
  </si>
  <si>
    <t>research_question</t>
  </si>
  <si>
    <t>Research question</t>
  </si>
  <si>
    <t>The central question the study seeks to answer. It is retained in clear academic English to avoid changing its meaning through translation.</t>
  </si>
  <si>
    <t>Free text</t>
  </si>
  <si>
    <t>Audited source and evidence locator</t>
  </si>
  <si>
    <t>research_question_provenance</t>
  </si>
  <si>
    <t>Research-question provenance</t>
  </si>
  <si>
    <t>States whether the question was explicitly written by the authors, faithfully paraphrased, summarized from explicit dimensions, or reconstructed from the stated aim. Reconstructed wording is never a quotation.</t>
  </si>
  <si>
    <t>market_sample</t>
  </si>
  <si>
    <t>Market and sample</t>
  </si>
  <si>
    <t>The markets, assets, study universe, dates and sample size analyzed.</t>
  </si>
  <si>
    <t>frequency</t>
  </si>
  <si>
    <t>Data frequency</t>
  </si>
  <si>
    <t>The sampling frequency of raw observations and the frequency at which predictors and outcomes are constructed.</t>
  </si>
  <si>
    <t>horizon</t>
  </si>
  <si>
    <t>Forecast or evaluation horizon</t>
  </si>
  <si>
    <t>The actual forecast horizon or, for a non-forecasting study, the estimation or evaluation interval.</t>
  </si>
  <si>
    <t>target</t>
  </si>
  <si>
    <t>Target variable</t>
  </si>
  <si>
    <t>The dependent or latent quantity being forecast or estimated, including any transformation.</t>
  </si>
  <si>
    <t>predictors</t>
  </si>
  <si>
    <t>Predictor variables</t>
  </si>
  <si>
    <t>Variables available to the model at the forecast origin. Ex-post variables used only for evaluation must be identified separately.</t>
  </si>
  <si>
    <t>models</t>
  </si>
  <si>
    <t>Models</t>
  </si>
  <si>
    <t>The statistical, econometric, machine-learning or deep-learning specifications actually estimated or compared.</t>
  </si>
  <si>
    <t>baseline</t>
  </si>
  <si>
    <t>Baseline</t>
  </si>
  <si>
    <t>The reference model or information set against which incremental value is evaluated.</t>
  </si>
  <si>
    <t>temporal_validation</t>
  </si>
  <si>
    <t>Temporal validation</t>
  </si>
  <si>
    <t>How training, validation, tuning and testing observations are separated through time.</t>
  </si>
  <si>
    <t>leakage_controls</t>
  </si>
  <si>
    <t>Future-information leakage controls</t>
  </si>
  <si>
    <t>Explicit protections against future-information use and any unresolved leakage risks identified by the audit.</t>
  </si>
  <si>
    <t>metrics</t>
  </si>
  <si>
    <t>Evaluation metrics</t>
  </si>
  <si>
    <t>Forecast losses, statistical tests and economic or risk measures used to evaluate results.</t>
  </si>
  <si>
    <t>result_bounded</t>
  </si>
  <si>
    <t>Bounded result</t>
  </si>
  <si>
    <t>The principal result stated only for the audited market, sample, horizon, model, metric and document version.</t>
  </si>
  <si>
    <t>limitations</t>
  </si>
  <si>
    <t>Limitations</t>
  </si>
  <si>
    <t>Limitations stated by the authors and additional audit-inferred limitations, with inferred limitations clearly labelled.</t>
  </si>
  <si>
    <t>MDS650_utility</t>
  </si>
  <si>
    <t>Usefulness for MDS650</t>
  </si>
  <si>
    <t>How the study informs the MDS650 design without assuming that its findings transfer automatically to RV30.</t>
  </si>
  <si>
    <t>method_decision</t>
  </si>
  <si>
    <t>Method decision</t>
  </si>
  <si>
    <t>Operational use of the study: core evidence, supporting method, mechanism evidence, retain with caveats or not prioritized.</t>
  </si>
  <si>
    <t>evidence_locator</t>
  </si>
  <si>
    <t>Pages, sections, equations, tables, figures or appendices supporting the material extraction and score.</t>
  </si>
  <si>
    <t>B1_B2_relation</t>
  </si>
  <si>
    <t>Relationship to B1 and B2</t>
  </si>
  <si>
    <t>How the study relates to ordinary option-state information and trade-derived option-activity information. B1 and B2 are information sets, not models.</t>
  </si>
  <si>
    <t>directness</t>
  </si>
  <si>
    <t>Directness</t>
  </si>
  <si>
    <t>Degree of correspondence with the project market, RV30 target, horizon, information sets and out-of-sample design.</t>
  </si>
  <si>
    <t>pros</t>
  </si>
  <si>
    <t>Strengths</t>
  </si>
  <si>
    <t>Methodological, empirical, reporting or reproducibility strengths verified in the audited source.</t>
  </si>
  <si>
    <t>cons</t>
  </si>
  <si>
    <t>Weaknesses</t>
  </si>
  <si>
    <t>Weaknesses, transfer risks, unresolved leakage concerns or reproducibility gaps identified by the audit.</t>
  </si>
  <si>
    <t>citations</t>
  </si>
  <si>
    <t>Citation record</t>
  </si>
  <si>
    <t>Canonical reference, DOI and essential methodological references. Citation counts require a dated, independently verified source.</t>
  </si>
  <si>
    <t>dataset</t>
  </si>
  <si>
    <t>Dataset used</t>
  </si>
  <si>
    <t>YES when the study uses empirical or simulated data. NO means no dataset was used; it does not indicate public availability.</t>
  </si>
  <si>
    <t>dataset_publicly_downloadable</t>
  </si>
  <si>
    <t>Public dataset availability</t>
  </si>
  <si>
    <t>Whether all data required for replication can actually be downloaded.</t>
  </si>
  <si>
    <t>YES; NO; PARTIAL; CONDITIONAL</t>
  </si>
  <si>
    <t>dataset_features</t>
  </si>
  <si>
    <t>Dataset features</t>
  </si>
  <si>
    <t>Raw and engineered variables contained in the dataset or supplied to the models.</t>
  </si>
  <si>
    <t>dataset_contents</t>
  </si>
  <si>
    <t>Dataset contents</t>
  </si>
  <si>
    <t>Assets, observations, dates, granularity, providers and overall dataset scope.</t>
  </si>
  <si>
    <t>dataset_provider_access</t>
  </si>
  <si>
    <t>Provider and access</t>
  </si>
  <si>
    <t>Provider, licensing, embargo, access restrictions and whether a reproducible snapshot exists.</t>
  </si>
  <si>
    <t>source_version</t>
  </si>
  <si>
    <t>Audited source version</t>
  </si>
  <si>
    <t>Exact document version audited, such as preprint, accepted manuscript, working paper or Version of Record.</t>
  </si>
  <si>
    <t>audit_status</t>
  </si>
  <si>
    <t>Audit status</t>
  </si>
  <si>
    <t>Factual statement describing how much of the identified source was inspected and any access limitations.</t>
  </si>
  <si>
    <t>evidence_confidence</t>
  </si>
  <si>
    <t>Evidence confidence</t>
  </si>
  <si>
    <t>Confidence that the extraction reflects the identified source. It is not confidence that the paper's scientific conclusion is universally true.</t>
  </si>
  <si>
    <t>Project terms and acronyms</t>
  </si>
  <si>
    <t>MDS650</t>
  </si>
  <si>
    <t>Project identifier for this capstone research design; it is not a model, metric or dataset.</t>
  </si>
  <si>
    <t>Defined term</t>
  </si>
  <si>
    <t>MDS650 contract or audited source</t>
  </si>
  <si>
    <t>RV</t>
  </si>
  <si>
    <t>Realized variance or volatility</t>
  </si>
  <si>
    <t>A realized measure constructed from intraday returns. Each source must state whether RV denotes variance, volatility, a logarithm or another transformation.</t>
  </si>
  <si>
    <t>RV30</t>
  </si>
  <si>
    <t>Forward 30-minute realized variance</t>
  </si>
  <si>
    <t>The project target: the fully observed forecast-origin close and the next 30 consecutive one-minute closes produce exactly 30 log returns whose squared values are summed.</t>
  </si>
  <si>
    <t>B0</t>
  </si>
  <si>
    <t>Underlying-market baseline information set</t>
  </si>
  <si>
    <t>Point-in-time underlying-asset and market-state controls only.</t>
  </si>
  <si>
    <t>B1</t>
  </si>
  <si>
    <t>Ordinary option-state information family</t>
  </si>
  <si>
    <t>General family adding ordinary option-market state to B0. It is an information set, not a model.</t>
  </si>
  <si>
    <t>B1a</t>
  </si>
  <si>
    <t>Primary ordinary option-state benchmark</t>
  </si>
  <si>
    <t>B0 plus point-in-time at-the-money implied-volatility information.</t>
  </si>
  <si>
    <t>B1b</t>
  </si>
  <si>
    <t>Skew robustness information set</t>
  </si>
  <si>
    <t>B1a plus comparable-expiry implied-volatility skew.</t>
  </si>
  <si>
    <t>B1c</t>
  </si>
  <si>
    <t>Term-structure robustness information set</t>
  </si>
  <si>
    <t>B1b plus implied-volatility term-structure information.</t>
  </si>
  <si>
    <t>B2</t>
  </si>
  <si>
    <t>Trade-derived option-activity information set</t>
  </si>
  <si>
    <t>B1a plus the frozen target-blind option-activity features used to test incremental activity information.</t>
  </si>
  <si>
    <t>B0v2</t>
  </si>
  <si>
    <t>Phase 6 baseline information set</t>
  </si>
  <si>
    <t>Frozen point-in-time underlying and market controls used in the Phase 6 mechanism-aware design.</t>
  </si>
  <si>
    <t>B1v2a</t>
  </si>
  <si>
    <t>Phase 6 primary ordinary option-state set</t>
  </si>
  <si>
    <t>B0v2 plus 30–60-day at-the-money implied-volatility level and registered five- and thirty-minute changes.</t>
  </si>
  <si>
    <t>B1v2b</t>
  </si>
  <si>
    <t>Phase 6 skew robustness set</t>
  </si>
  <si>
    <t>B1v2a plus comparable-expiry implied-volatility skew level and change.</t>
  </si>
  <si>
    <t>B1v2c</t>
  </si>
  <si>
    <t>Phase 6 term-structure robustness set</t>
  </si>
  <si>
    <t>B1v2b plus short-to-medium and medium-to-long implied-volatility term-structure slopes and changes.</t>
  </si>
  <si>
    <t>B2v2</t>
  </si>
  <si>
    <t>Phase 6 option-activity set</t>
  </si>
  <si>
    <t>B1v2a plus nine frozen abnormal-activity features normalized only from eligible prior-session history without RV30 or forecast-loss information.</t>
  </si>
  <si>
    <t>Delta_B1</t>
  </si>
  <si>
    <t>Incremental B1 loss contrast</t>
  </si>
  <si>
    <t>QLIKE(B0) minus QLIKE(B1a). A positive value means B1a has lower loss on identical observations.</t>
  </si>
  <si>
    <t>Delta_B2</t>
  </si>
  <si>
    <t>Incremental B2 loss contrast</t>
  </si>
  <si>
    <t>QLIKE(B1a) minus QLIKE(B2). A positive value means B2 has lower loss on identical observations.</t>
  </si>
  <si>
    <t>Delta_B1v2</t>
  </si>
  <si>
    <t>Phase 6 B1 contrast</t>
  </si>
  <si>
    <t>QLIKE(B0v2) minus QLIKE(B1v2a). Positive values favor B1v2a.</t>
  </si>
  <si>
    <t>Delta_B2v2</t>
  </si>
  <si>
    <t>Phase 6 primary B2 contrast</t>
  </si>
  <si>
    <t>QLIKE(B1v2a) minus QLIKE(B2v2). Positive values favor B2v2.</t>
  </si>
  <si>
    <t>target-blind</t>
  </si>
  <si>
    <t>Target-blind feature design</t>
  </si>
  <si>
    <t>Features are defined without using RV30, forecast losses, residuals, holdout outcomes or other target-derived feedback.</t>
  </si>
  <si>
    <t>PIT</t>
  </si>
  <si>
    <t>Point in time</t>
  </si>
  <si>
    <t>Every predictor must be demonstrably available no later than the forecast origin; later revisions or timestamps are excluded.</t>
  </si>
  <si>
    <t>OOS</t>
  </si>
  <si>
    <t>Out of sample</t>
  </si>
  <si>
    <t>Evaluation observations were not used to fit, transform, tune or select the evaluated model; MDS650 uses chronological separation.</t>
  </si>
  <si>
    <t>rolling window</t>
  </si>
  <si>
    <t>Rolling-window evaluation</t>
  </si>
  <si>
    <t>A fixed-length historical training window moves forward through time before each forecast block or origin.</t>
  </si>
  <si>
    <t>expanding window</t>
  </si>
  <si>
    <t>Expanding-window evaluation</t>
  </si>
  <si>
    <t>Training begins at a fixed start date and grows as time advances.</t>
  </si>
  <si>
    <t>purge</t>
  </si>
  <si>
    <t>Purging</t>
  </si>
  <si>
    <t>Removal of training observations whose target interval overlaps the validation or test interval.</t>
  </si>
  <si>
    <t>embargo</t>
  </si>
  <si>
    <t>Embargo</t>
  </si>
  <si>
    <t>A time buffer between training and evaluation observations that reduces information overlap.</t>
  </si>
  <si>
    <t>QLIKE</t>
  </si>
  <si>
    <t>Quasi-likelihood loss</t>
  </si>
  <si>
    <t>Loss for positive variance forecasts, commonly actual/forecast minus log(actual/forecast) minus one. Lower is better.</t>
  </si>
  <si>
    <t>MSE</t>
  </si>
  <si>
    <t>Mean Squared Error</t>
  </si>
  <si>
    <t>Average squared forecast error; large errors receive greater penalty.</t>
  </si>
  <si>
    <t>RMSE</t>
  </si>
  <si>
    <t>Root Mean Squared Error</t>
  </si>
  <si>
    <t>Square root of MSE, expressed in the target's units.</t>
  </si>
  <si>
    <t>MAE</t>
  </si>
  <si>
    <t>Mean Absolute Error</t>
  </si>
  <si>
    <t>Average absolute forecast error.</t>
  </si>
  <si>
    <t>HAR</t>
  </si>
  <si>
    <t>Heterogeneous Autoregressive model</t>
  </si>
  <si>
    <t>Realized-volatility benchmark representing persistence through lagged realized measures at multiple horizons.</t>
  </si>
  <si>
    <t>ATM</t>
  </si>
  <si>
    <t>At the money</t>
  </si>
  <si>
    <t>An option whose strike is at or near the relevant underlying spot or forward price under the stated convention.</t>
  </si>
  <si>
    <t>IV</t>
  </si>
  <si>
    <t>Implied volatility</t>
  </si>
  <si>
    <t>Volatility parameter inferred from option prices under a specified pricing model and input convention.</t>
  </si>
  <si>
    <t>ATM IV</t>
  </si>
  <si>
    <t>At-the-money implied volatility</t>
  </si>
  <si>
    <t>Ordinary option-state information assigned to B1a, not trade-derived activity assigned to B2.</t>
  </si>
  <si>
    <t>DM</t>
  </si>
  <si>
    <t>Diebold–Mariano test</t>
  </si>
  <si>
    <t>Test of equal predictive accuracy using the time series of loss differences between two forecasts.</t>
  </si>
  <si>
    <t>DMW</t>
  </si>
  <si>
    <t>Diebold–Mariano–West comparison</t>
  </si>
  <si>
    <t>Forecast-comparison statistic allowing appropriate long-run variance treatment for loss differences.</t>
  </si>
  <si>
    <t>GW</t>
  </si>
  <si>
    <t>Giacomini–White test</t>
  </si>
  <si>
    <t>Conditional predictive-ability test evaluating whether relative forecast performance varies with information or state.</t>
  </si>
  <si>
    <t>MCS</t>
  </si>
  <si>
    <t>Model Confidence Set</t>
  </si>
  <si>
    <t>Sequential procedure identifying models that cannot be statistically distinguished as inferior at a stated confidence level.</t>
  </si>
  <si>
    <t>GLM</t>
  </si>
  <si>
    <t>Generalized Linear Model</t>
  </si>
  <si>
    <t>Regression framework linking a response distribution to a linear predictor through a specified link function.</t>
  </si>
  <si>
    <t>LightGBM</t>
  </si>
  <si>
    <t>Light Gradient Boosting Machine</t>
  </si>
  <si>
    <t>Tree-based gradient-boosting implementation used in the project only as a fixed nonlinear robustness challenger.</t>
  </si>
  <si>
    <t>ML</t>
  </si>
  <si>
    <t>Machine learning</t>
  </si>
  <si>
    <t>Data-driven predictive methods whose parameters or decision rules are estimated algorithmically.</t>
  </si>
  <si>
    <t>DL</t>
  </si>
  <si>
    <t>Deep learning</t>
  </si>
  <si>
    <t>Machine-learning methods based on multilayer neural networks.</t>
  </si>
  <si>
    <t>GNN</t>
  </si>
  <si>
    <t>Graph Neural Network</t>
  </si>
  <si>
    <t>Neural architecture that propagates and aggregates information over graph nodes and edges.</t>
  </si>
  <si>
    <t>LSTM</t>
  </si>
  <si>
    <t>Long Short-Term Memory network</t>
  </si>
  <si>
    <t>Recurrent neural network using gated memory states to represent sequential dependence.</t>
  </si>
  <si>
    <t>PCA</t>
  </si>
  <si>
    <t>Principal Component Analysis</t>
  </si>
  <si>
    <t>Linear dimension-reduction method. It must be fitted only on training data in an out-of-sample design.</t>
  </si>
  <si>
    <t>VaR</t>
  </si>
  <si>
    <t>Value at Risk</t>
  </si>
  <si>
    <t>Quantile-based loss threshold for a stated probability and horizon; it is not a volatility forecast-loss metric.</t>
  </si>
  <si>
    <t>CI</t>
  </si>
  <si>
    <t>Confidence interval</t>
  </si>
  <si>
    <t>Range produced by a stated inferential method to quantify uncertainty around an estimate.</t>
  </si>
  <si>
    <t>MDE</t>
  </si>
  <si>
    <t>Minimum Detectable Effect</t>
  </si>
  <si>
    <t>Smallest effect magnitude the registered design is intended to detect under stated assumptions; it must be frozen without OOS outcomes.</t>
  </si>
  <si>
    <t>Digital Object Identifier</t>
  </si>
  <si>
    <t>Persistent identifier for a scholarly object. A DOI does not prove full-text access, data availability or methodological quality.</t>
  </si>
  <si>
    <t>VOR</t>
  </si>
  <si>
    <t>Version of Record</t>
  </si>
  <si>
    <t>Final publisher-designated version incorporating formal peer review, copy-editing, typesetting and corrections.</t>
  </si>
  <si>
    <t>Evidence and decision statuses</t>
  </si>
  <si>
    <t>FULL_TEXT_VERIFIED</t>
  </si>
  <si>
    <t>Full text verified</t>
  </si>
  <si>
    <t>The complete text of the identified version was inspected and material claims were tied to evidence locators. This does not mean the version is necessarily the VOR or that every conclusion is correct.</t>
  </si>
  <si>
    <t>Defined status</t>
  </si>
  <si>
    <t>Audit manifest or documented decision rule</t>
  </si>
  <si>
    <t>NOT_REPORTED</t>
  </si>
  <si>
    <t>Not reported</t>
  </si>
  <si>
    <t>The audited article does not state the requested information; the field is not completed by assumption.</t>
  </si>
  <si>
    <t>NOT_VERIFIED</t>
  </si>
  <si>
    <t>Not verified</t>
  </si>
  <si>
    <t>Available evidence is insufficient for independent confirmation. This does not mean the statement is false.</t>
  </si>
  <si>
    <t>NO_VERIFICADO</t>
  </si>
  <si>
    <t>Legacy Spanish label</t>
  </si>
  <si>
    <t>Legacy label equivalent to NOT_VERIFIED. Use NOT_VERIFIED in English-facing output.</t>
  </si>
  <si>
    <t>READ_CROSS_SOURCE_NO_PDF</t>
  </si>
  <si>
    <t>Read across authoritative sources; no PDF</t>
  </si>
  <si>
    <t>Content was audited through publisher HTML, bibliographic records and official author materials, but the exact PDF binary/page layout was unavailable.</t>
  </si>
  <si>
    <t>EXPLICIT_AUTHOR_QUESTION_PARAPHRASED</t>
  </si>
  <si>
    <t>Explicit author question, paraphrased</t>
  </si>
  <si>
    <t>The authors explicitly state the question; the matrix presents a faithful academic paraphrase rather than a quotation.</t>
  </si>
  <si>
    <t>EXPLICIT_RESEARCH_DIMENSIONS_SUMMARIZED</t>
  </si>
  <si>
    <t>Explicit dimensions summarized</t>
  </si>
  <si>
    <t>The authors state the research dimensions and the matrix combines them into one concise question.</t>
  </si>
  <si>
    <t>RECONSTRUCTED_FROM_STATED_AIM_NOT_VERBATIM</t>
  </si>
  <si>
    <t>Reconstructed from stated aim</t>
  </si>
  <si>
    <t>The auditor formulated the question from the authors' objective, contribution or hypothesis. It is evidence-aligned but not author-quoted text.</t>
  </si>
  <si>
    <t>VERSION_OF_RECORD_PDF</t>
  </si>
  <si>
    <t>Version-of-Record PDF</t>
  </si>
  <si>
    <t>A publisher-designated Version of Record was inspected as a PDF.</t>
  </si>
  <si>
    <t>FINAL_PUBLISHER_PDF</t>
  </si>
  <si>
    <t>Final publisher PDF</t>
  </si>
  <si>
    <t>A final publisher-produced PDF was inspected; a separate VOR designation is recorded only when verified.</t>
  </si>
  <si>
    <t>ACCEPTED_MANUSCRIPT_PDF</t>
  </si>
  <si>
    <t>Accepted manuscript PDF</t>
  </si>
  <si>
    <t>Peer-reviewed author manuscript accepted for publication; copy-editing, wording or pagination may differ from the VOR.</t>
  </si>
  <si>
    <t>OFFICIAL_WORKING_PAPER_PDF</t>
  </si>
  <si>
    <t>Official working-paper PDF</t>
  </si>
  <si>
    <t>Institutionally issued working paper that may be preliminary and may not represent a later peer-reviewed publication.</t>
  </si>
  <si>
    <t>LOCAL_PDF_PREPRINT</t>
  </si>
  <si>
    <t>Preprint PDF</t>
  </si>
  <si>
    <t>Prepublication manuscript; every claim must be attributed to that exact version.</t>
  </si>
  <si>
    <t>FULL_TEXT_PAGE_MARKED_WEB</t>
  </si>
  <si>
    <t>Page-marked full web text</t>
  </si>
  <si>
    <t>Complete page-marked article text was inspected although a downloadable PDF was unavailable.</t>
  </si>
  <si>
    <t>PUBLISHER_HTML_PLUS_AUTHOR_REPLICATION</t>
  </si>
  <si>
    <t>Publisher HTML plus author replication</t>
  </si>
  <si>
    <t>Publisher HTML was audited together with official author-controlled replication materials.</t>
  </si>
  <si>
    <t>RETAIN_METHOD_ONLY</t>
  </si>
  <si>
    <t>Retain for method only</t>
  </si>
  <si>
    <t>The study supports a transferable method, metric or validation principle but is not direct evidence for the substantive MDS650 hypothesis.</t>
  </si>
  <si>
    <t>RETAIN_WITH_CAVEATS</t>
  </si>
  <si>
    <t>Retain with caveats</t>
  </si>
  <si>
    <t>The study remains relevant, but identified limitations must accompany every use or interpretation.</t>
  </si>
  <si>
    <t>ADOPT_DESIGN_NOT_RESULTS</t>
  </si>
  <si>
    <t>Adopt design, not results</t>
  </si>
  <si>
    <t>The methodological design may inform MDS650; reported effect sizes, model rankings and conclusions are not transferred.</t>
  </si>
  <si>
    <t>Pass</t>
  </si>
  <si>
    <t>The stated requirement was evaluated and satisfied using the recorded evidence.</t>
  </si>
  <si>
    <t>FAIL</t>
  </si>
  <si>
    <t>Fail</t>
  </si>
  <si>
    <t>The requirement was evaluated and not satisfied.</t>
  </si>
  <si>
    <t>BLOCKED</t>
  </si>
  <si>
    <t>Blocked</t>
  </si>
  <si>
    <t>The requirement cannot be evaluated or satisfied because a prerequisite or evidence gate is missing. BLOCKED is not FAIL.</t>
  </si>
  <si>
    <t>YES</t>
  </si>
  <si>
    <t>Yes</t>
  </si>
  <si>
    <t>The stated condition is fully satisfied under the recorded scope.</t>
  </si>
  <si>
    <t>NO</t>
  </si>
  <si>
    <t>No</t>
  </si>
  <si>
    <t>The stated condition is not satisfied under the recorded scope.</t>
  </si>
  <si>
    <t>PARTIAL</t>
  </si>
  <si>
    <t>Partial</t>
  </si>
  <si>
    <t>Only a documented subset of the required material, data or code is available.</t>
  </si>
  <si>
    <t>CONDITIONAL</t>
  </si>
  <si>
    <t>Conditional</t>
  </si>
  <si>
    <t>Access or reproducibility depends on licensing, credentials, approval, payment or another stated condition.</t>
  </si>
  <si>
    <t>HIGH</t>
  </si>
  <si>
    <t>High evidence confidence</t>
  </si>
  <si>
    <t>Evidence is direct, complete and strongly traceable for the stated extraction, subject to recorded version limits.</t>
  </si>
  <si>
    <t>MODERATE</t>
  </si>
  <si>
    <t>Moderate evidence confidence</t>
  </si>
  <si>
    <t>Evidence supports the extraction but retains a material access, version, consistency or reproducibility limitation.</t>
  </si>
  <si>
    <t>LOW</t>
  </si>
  <si>
    <t>Low evidence confidence</t>
  </si>
  <si>
    <t>Evidence is indirect, incomplete or unsuitable for a strong transferable 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</si>
</sst>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
  </numFmts>
  <fonts count="18" x14ac:knownFonts="1">
    <font>
      <sz val="11"/>
      <color theme="1"/>
      <name val="Calibri"/>
      <family val="2"/>
      <scheme val="minor"/>
    </font>
    <font>
      <b/>
      <sz val="18"/>
      <color rgb="FFFFFFFF"/>
      <name val="Calibri"/>
    </font>
    <font>
      <b/>
      <sz val="11"/>
      <color rgb="FF2E7D32"/>
      <name val="Calibri"/>
    </font>
    <font>
      <b/>
      <sz val="10"/>
      <color rgb="FF7F6000"/>
      <name val="Calibri"/>
    </font>
    <font>
      <i/>
      <sz val="10"/>
      <color rgb="FF17365D"/>
      <name val="Calibri"/>
    </font>
    <font>
      <b/>
      <sz val="12"/>
      <color rgb="FFFFFFFF"/>
      <name val="Calibri"/>
    </font>
    <font>
      <b/>
      <sz val="10"/>
      <color rgb="FFFFFFFF"/>
      <name val="Calibri"/>
    </font>
    <font>
      <sz val="12"/>
      <color theme="10"/>
      <name val="Calibri"/>
      <family val="2"/>
      <scheme val="minor"/>
    </font>
    <font>
      <b/>
      <sz val="9"/>
      <color rgb="FF2E7D32"/>
      <name val="Calibri"/>
    </font>
    <font>
      <b/>
      <sz val="12"/>
      <color rgb="FF17365D"/>
      <name val="Calibri"/>
    </font>
    <font>
      <sz val="9"/>
      <color rgb="FF1F1F1F"/>
      <name val="Calibri"/>
    </font>
    <font>
      <b/>
      <sz val="9"/>
      <color rgb="FF7F6000"/>
      <name val="Calibri"/>
    </font>
    <font>
      <b/>
      <sz val="9"/>
      <color rgb="FF595959"/>
      <name val="Calibri"/>
    </font>
    <font>
      <b/>
      <sz val="11"/>
      <color rgb="FF17365D"/>
      <name val="Calibri"/>
    </font>
    <font>
      <b/>
      <sz val="11"/>
      <color rgb="FF2E7D32"/>
      <name val="Calibri"/>
    </font>
    <font>
      <b/>
      <sz val="11"/>
      <color rgb="FF7F6000"/>
      <name val="Calibri"/>
    </font>
    <font>
      <b/>
      <sz val="17"/>
      <color rgb="FFFFFFFF"/>
      <name val="Calibri"/>
    </font>
    <font>
      <i/>
      <sz val="11"/>
      <color rgb="FF17365D"/>
      <name val="Calibri"/>
    </font>
  </fonts>
  <fills count="12">
    <fill>
      <patternFill patternType="none"/>
    </fill>
    <fill>
      <patternFill patternType="gray125"/>
    </fill>
    <fill>
      <patternFill patternType="solid">
        <fgColor rgb="FF17365D"/>
      </patternFill>
    </fill>
    <fill>
      <patternFill patternType="solid">
        <fgColor rgb="FFE2F0D9"/>
      </patternFill>
    </fill>
    <fill>
      <patternFill patternType="solid">
        <fgColor rgb="FFFFF2CC"/>
      </patternFill>
    </fill>
    <fill>
      <patternFill patternType="solid">
        <fgColor rgb="FFD9EAF7"/>
      </patternFill>
    </fill>
    <fill>
      <patternFill patternType="solid">
        <fgColor rgb="FF4472C4"/>
      </patternFill>
    </fill>
    <fill>
      <patternFill patternType="solid">
        <fgColor rgb="FFEDF6E9"/>
      </patternFill>
    </fill>
    <fill>
      <patternFill patternType="solid">
        <fgColor rgb="FFF2F2F2"/>
      </patternFill>
    </fill>
    <fill>
      <patternFill patternType="solid">
        <fgColor rgb="FF2E7D32"/>
      </patternFill>
    </fill>
    <fill>
      <patternFill patternType="solid">
        <fgColor rgb="FFC6E0B4"/>
      </patternFill>
    </fill>
    <fill>
      <patternFill patternType="solid">
        <fgColor rgb="FFF4CCCC"/>
      </patternFill>
    </fill>
  </fills>
  <borders count="3">
    <border>
      <left/>
      <right/>
      <top/>
      <bottom/>
      <diagonal/>
    </border>
    <border>
      <left/>
      <right/>
      <top/>
      <bottom style="medium">
        <color rgb="FF17365D"/>
      </bottom>
      <diagonal/>
    </border>
    <border>
      <left/>
      <right/>
      <top/>
      <bottom style="thin">
        <color rgb="FFB4C7E7"/>
      </bottom>
      <diagonal/>
    </border>
  </borders>
  <cellStyleXfs count="2">
    <xf numFmtId="0" fontId="0" fillId="0" borderId="0"/>
    <xf numFmtId="0" fontId="7" fillId="0" borderId="0"/>
  </cellStyleXfs>
  <cellXfs count="37">
    <xf numFmtId="0" fontId="0" fillId="0" borderId="0" xfId="0"/>
    <xf numFmtId="0" fontId="6" fillId="2" borderId="1" xfId="0" applyFont="1" applyFill="1" applyBorder="1" applyAlignment="1">
      <alignment horizontal="center" vertical="center" wrapText="1"/>
    </xf>
    <xf numFmtId="0" fontId="10" fillId="3" borderId="2" xfId="0" applyFont="1" applyFill="1" applyBorder="1" applyAlignment="1">
      <alignment vertical="top" wrapText="1"/>
    </xf>
    <xf numFmtId="0" fontId="8" fillId="3" borderId="2" xfId="0" applyFont="1" applyFill="1" applyBorder="1" applyAlignment="1">
      <alignment vertical="top" wrapText="1"/>
    </xf>
    <xf numFmtId="0" fontId="9" fillId="3" borderId="2" xfId="0" applyFont="1" applyFill="1" applyBorder="1" applyAlignment="1">
      <alignment vertical="top" wrapText="1"/>
    </xf>
    <xf numFmtId="0" fontId="10" fillId="3" borderId="2" xfId="1" applyFont="1" applyFill="1" applyBorder="1" applyAlignment="1">
      <alignment vertical="top" wrapText="1"/>
    </xf>
    <xf numFmtId="0" fontId="10" fillId="7" borderId="2" xfId="0" applyFont="1" applyFill="1" applyBorder="1" applyAlignment="1">
      <alignment vertical="top" wrapText="1"/>
    </xf>
    <xf numFmtId="0" fontId="8" fillId="7" borderId="2" xfId="0" applyFont="1" applyFill="1" applyBorder="1" applyAlignment="1">
      <alignment vertical="top" wrapText="1"/>
    </xf>
    <xf numFmtId="0" fontId="9" fillId="7" borderId="2" xfId="0" applyFont="1" applyFill="1" applyBorder="1" applyAlignment="1">
      <alignment vertical="top" wrapText="1"/>
    </xf>
    <xf numFmtId="0" fontId="10" fillId="7" borderId="2" xfId="1" applyFont="1" applyFill="1" applyBorder="1" applyAlignment="1">
      <alignment vertical="top" wrapText="1"/>
    </xf>
    <xf numFmtId="0" fontId="10" fillId="0" borderId="2" xfId="0" applyFont="1" applyBorder="1" applyAlignment="1">
      <alignment vertical="top" wrapText="1"/>
    </xf>
    <xf numFmtId="1" fontId="10" fillId="0" borderId="2" xfId="0" applyNumberFormat="1" applyFont="1" applyBorder="1" applyAlignment="1">
      <alignment vertical="top" wrapText="1"/>
    </xf>
    <xf numFmtId="0" fontId="10" fillId="0" borderId="2" xfId="1" applyFont="1" applyBorder="1" applyAlignment="1">
      <alignment vertical="top" wrapText="1"/>
    </xf>
    <xf numFmtId="0" fontId="10" fillId="3" borderId="1" xfId="0" applyFont="1" applyFill="1" applyBorder="1" applyAlignment="1">
      <alignment vertical="top" wrapText="1"/>
    </xf>
    <xf numFmtId="0" fontId="8" fillId="3" borderId="1" xfId="0" applyFont="1" applyFill="1" applyBorder="1" applyAlignment="1">
      <alignment vertical="top" wrapText="1"/>
    </xf>
    <xf numFmtId="0" fontId="10" fillId="0" borderId="1" xfId="0" applyFont="1" applyBorder="1" applyAlignment="1">
      <alignment vertical="top" wrapText="1"/>
    </xf>
    <xf numFmtId="1" fontId="10" fillId="0" borderId="1" xfId="0" applyNumberFormat="1" applyFont="1" applyBorder="1" applyAlignment="1">
      <alignment vertical="top" wrapText="1"/>
    </xf>
    <xf numFmtId="0" fontId="10" fillId="0" borderId="1" xfId="1" applyFont="1" applyBorder="1" applyAlignment="1">
      <alignment vertical="top" wrapText="1"/>
    </xf>
    <xf numFmtId="0" fontId="11" fillId="4" borderId="2" xfId="0" applyFont="1" applyFill="1" applyBorder="1" applyAlignment="1">
      <alignment vertical="top" wrapText="1"/>
    </xf>
    <xf numFmtId="0" fontId="12" fillId="8" borderId="2" xfId="0" applyFont="1" applyFill="1" applyBorder="1" applyAlignment="1">
      <alignment vertical="top" wrapText="1"/>
    </xf>
    <xf numFmtId="164" fontId="10" fillId="0" borderId="2" xfId="0" applyNumberFormat="1" applyFont="1" applyBorder="1" applyAlignment="1">
      <alignment vertical="top" wrapText="1"/>
    </xf>
    <xf numFmtId="0" fontId="10" fillId="9" borderId="2" xfId="0" applyFont="1" applyFill="1" applyBorder="1" applyAlignment="1">
      <alignment vertical="top" wrapText="1"/>
    </xf>
    <xf numFmtId="0" fontId="10" fillId="10" borderId="2" xfId="0" applyFont="1" applyFill="1" applyBorder="1" applyAlignment="1">
      <alignment vertical="top" wrapText="1"/>
    </xf>
    <xf numFmtId="0" fontId="10" fillId="4" borderId="2" xfId="0" applyFont="1" applyFill="1" applyBorder="1" applyAlignment="1">
      <alignment vertical="top" wrapText="1"/>
    </xf>
    <xf numFmtId="0" fontId="10" fillId="11" borderId="2" xfId="0" applyFont="1" applyFill="1" applyBorder="1" applyAlignment="1">
      <alignment vertical="top" wrapText="1"/>
    </xf>
    <xf numFmtId="0" fontId="4" fillId="5" borderId="0" xfId="0" applyFont="1" applyFill="1" applyAlignment="1">
      <alignment horizontal="center" vertical="center" wrapText="1"/>
    </xf>
    <xf numFmtId="0" fontId="0" fillId="0" borderId="0" xfId="0"/>
    <xf numFmtId="0" fontId="3" fillId="4" borderId="0" xfId="0" applyFont="1" applyFill="1" applyAlignment="1">
      <alignment horizontal="center" vertical="center" wrapText="1"/>
    </xf>
    <xf numFmtId="0" fontId="15" fillId="4" borderId="0" xfId="0" applyFont="1" applyFill="1" applyAlignment="1">
      <alignment horizontal="center" vertical="center" wrapText="1"/>
    </xf>
    <xf numFmtId="0" fontId="5" fillId="6" borderId="0" xfId="0" applyFont="1" applyFill="1" applyAlignment="1">
      <alignment vertical="center"/>
    </xf>
    <xf numFmtId="0" fontId="13" fillId="5" borderId="0" xfId="0" applyFont="1" applyFill="1" applyAlignment="1">
      <alignment horizontal="center" vertical="center" wrapText="1"/>
    </xf>
    <xf numFmtId="0" fontId="2" fillId="3" borderId="0" xfId="0" applyFont="1" applyFill="1" applyAlignment="1">
      <alignment horizontal="center" vertical="center" wrapText="1"/>
    </xf>
    <xf numFmtId="0" fontId="14" fillId="3" borderId="0" xfId="0" applyFont="1" applyFill="1" applyAlignment="1">
      <alignment horizontal="center" vertical="center" wrapText="1"/>
    </xf>
    <xf numFmtId="0" fontId="1" fillId="2" borderId="0" xfId="0" applyFont="1" applyFill="1" applyAlignment="1">
      <alignment horizontal="center" vertical="center"/>
    </xf>
    <xf numFmtId="0" fontId="7" fillId="0" borderId="0" xfId="1" applyAlignment="1">
      <alignment horizontal="center"/>
    </xf>
    <xf numFmtId="0" fontId="17" fillId="5" borderId="0" xfId="0" applyFont="1" applyFill="1" applyAlignment="1">
      <alignment horizontal="center" vertical="center" wrapText="1"/>
    </xf>
    <xf numFmtId="0" fontId="16" fillId="2" borderId="0" xfId="0" applyFont="1" applyFill="1" applyAlignment="1">
      <alignment horizontal="center" vertical="center"/>
    </xf>
  </cellXfs>
  <cellStyles count="2">
    <cellStyle name="Hyperlink" xfId="1" builtinId="8"/>
    <cellStyle name="Normal" xfId="0" builtinId="0"/>
  </cellStyles>
  <dxfs count="4">
    <dxf>
      <font>
        <b/>
        <color rgb="FF9C0006"/>
      </font>
      <fill>
        <patternFill patternType="solid">
          <fgColor rgb="FFF4CCCC"/>
        </patternFill>
      </fill>
    </dxf>
    <dxf>
      <font>
        <b/>
        <color rgb="FF7F6000"/>
      </font>
      <fill>
        <patternFill patternType="solid">
          <fgColor rgb="FFFFF2CC"/>
        </patternFill>
      </fill>
    </dxf>
    <dxf>
      <font>
        <b/>
        <color rgb="FF1B5E20"/>
      </font>
      <fill>
        <patternFill patternType="solid">
          <fgColor rgb="FFC6E0B4"/>
        </patternFill>
      </fill>
    </dxf>
    <dxf>
      <font>
        <b/>
        <color rgb="FFFFFFFF"/>
      </font>
      <fill>
        <patternFill patternType="solid">
          <fgColor rgb="FF2E7D3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TopFive" displayName="FinalTopFive" ref="A6:K11">
  <autoFilter ref="A6:K11" xr:uid="{00000000-0009-0000-0100-000001000000}"/>
  <tableColumns count="11">
    <tableColumn id="1" xr3:uid="{00000000-0010-0000-0000-000001000000}" name="Rank"/>
    <tableColumn id="2" xr3:uid="{00000000-0010-0000-0000-000002000000}" name="Study ID"/>
    <tableColumn id="3" xr3:uid="{00000000-0010-0000-0000-000003000000}" name="Study title"/>
    <tableColumn id="4" xr3:uid="{00000000-0010-0000-0000-000004000000}" name="Decision"/>
    <tableColumn id="5" xr3:uid="{00000000-0010-0000-0000-000005000000}" name="Required role"/>
    <tableColumn id="6" xr3:uid="{00000000-0010-0000-0000-000006000000}" name="Score / 100"/>
    <tableColumn id="7" xr3:uid="{00000000-0010-0000-0000-000007000000}" name="Score meaning"/>
    <tableColumn id="8" xr3:uid="{00000000-0010-0000-0000-000008000000}" name="Why selected"/>
    <tableColumn id="9" xr3:uid="{00000000-0010-0000-0000-000009000000}" name="Main transfer limitation"/>
    <tableColumn id="10" xr3:uid="{00000000-0010-0000-0000-00000A000000}" name="Evidence status"/>
    <tableColumn id="11" xr3:uid="{00000000-0010-0000-0000-00000B000000}" name="DOI"/>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llCandidateScores" displayName="AllCandidateScores" ref="A14:Q24">
  <autoFilter ref="A14:Q24" xr:uid="{00000000-0009-0000-0100-000002000000}"/>
  <tableColumns count="17">
    <tableColumn id="1" xr3:uid="{00000000-0010-0000-0100-000001000000}" name="Score rank"/>
    <tableColumn id="2" xr3:uid="{00000000-0010-0000-0100-000002000000}" name="Final selection"/>
    <tableColumn id="3" xr3:uid="{00000000-0010-0000-0100-000003000000}" name="Study ID"/>
    <tableColumn id="4" xr3:uid="{00000000-0010-0000-0100-000004000000}" name="Study title"/>
    <tableColumn id="5" xr3:uid="{00000000-0010-0000-0100-000005000000}" name="Direct fit_x000a_(max 45)"/>
    <tableColumn id="6" xr3:uid="{00000000-0010-0000-0100-000006000000}" name="Target/data/horizon_x000a_(max 15)"/>
    <tableColumn id="7" xr3:uid="{00000000-0010-0000-0100-000007000000}" name="Temporal validation/leakage_x000a_(max 15)"/>
    <tableColumn id="8" xr3:uid="{00000000-0010-0000-0100-000008000000}" name="Method/evaluation_x000a_(max 15)"/>
    <tableColumn id="9" xr3:uid="{00000000-0010-0000-0100-000009000000}" name="Evidence reliability_x000a_(max 10)"/>
    <tableColumn id="10" xr3:uid="{00000000-0010-0000-0100-00000A000000}" name="Total / 100"/>
    <tableColumn id="11" xr3:uid="{00000000-0010-0000-0100-00000B000000}" name="Score meaning"/>
    <tableColumn id="12" xr3:uid="{00000000-0010-0000-0100-00000C000000}" name="Primary portfolio role"/>
    <tableColumn id="13" xr3:uid="{00000000-0010-0000-0100-00000D000000}" name="Decision explanation"/>
    <tableColumn id="14" xr3:uid="{00000000-0010-0000-0100-00000E000000}" name="Main caveat"/>
    <tableColumn id="15" xr3:uid="{00000000-0010-0000-0100-00000F000000}" name="Evidence status"/>
    <tableColumn id="16" xr3:uid="{00000000-0010-0000-0100-000010000000}" name="DOI"/>
    <tableColumn id="17" xr3:uid="{00000000-0010-0000-0100-000011000000}" name="Evidence locato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oringCorrections" displayName="ScoringCorrections" ref="A27:F34">
  <autoFilter ref="A27:F34" xr:uid="{00000000-0009-0000-0100-000003000000}"/>
  <tableColumns count="6">
    <tableColumn id="1" xr3:uid="{00000000-0010-0000-0200-000001000000}" name="Previous element"/>
    <tableColumn id="2" xr3:uid="{00000000-0010-0000-0200-000002000000}" name="Prior treatment"/>
    <tableColumn id="3" xr3:uid="{00000000-0010-0000-0200-000003000000}" name="Revised treatment"/>
    <tableColumn id="4" xr3:uid="{00000000-0010-0000-0200-000004000000}" name="Reason"/>
    <tableColumn id="5" xr3:uid="{00000000-0010-0000-0200-000005000000}" name="Decision impact"/>
    <tableColumn id="6" xr3:uid="{00000000-0010-0000-0200-000006000000}" name="Audit resul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coringRubric" displayName="ScoringRubric" ref="A37:I42">
  <autoFilter ref="A37:I42" xr:uid="{00000000-0009-0000-0100-000004000000}"/>
  <tableColumns count="9">
    <tableColumn id="1" xr3:uid="{00000000-0010-0000-0300-000001000000}" name="Criterion"/>
    <tableColumn id="2" xr3:uid="{00000000-0010-0000-0300-000002000000}" name="Weight"/>
    <tableColumn id="3" xr3:uid="{00000000-0010-0000-0300-000003000000}" name="What it asks"/>
    <tableColumn id="4" xr3:uid="{00000000-0010-0000-0300-000004000000}" name="Rating 0"/>
    <tableColumn id="5" xr3:uid="{00000000-0010-0000-0300-000005000000}" name="Rating 1"/>
    <tableColumn id="6" xr3:uid="{00000000-0010-0000-0300-000006000000}" name="Rating 2"/>
    <tableColumn id="7" xr3:uid="{00000000-0010-0000-0300-000007000000}" name="Rating 3"/>
    <tableColumn id="8" xr3:uid="{00000000-0010-0000-0300-000008000000}" name="Rating 4"/>
    <tableColumn id="9" xr3:uid="{00000000-0010-0000-0300-000009000000}" name="Rating 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bsoluteScoreLegend" displayName="AbsoluteScoreLegend" ref="A47:D51">
  <autoFilter ref="A47:D51" xr:uid="{00000000-0009-0000-0100-000005000000}"/>
  <tableColumns count="4">
    <tableColumn id="1" xr3:uid="{00000000-0010-0000-0400-000001000000}" name="Score range"/>
    <tableColumn id="2" xr3:uid="{00000000-0010-0000-0400-000002000000}" name="Label"/>
    <tableColumn id="3" xr3:uid="{00000000-0010-0000-0400-000003000000}" name="Color"/>
    <tableColumn id="4" xr3:uid="{00000000-0010-0000-0400-000004000000}" name="Mean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ortfolioRoleCoverage" displayName="PortfolioRoleCoverage" ref="A54:F59">
  <autoFilter ref="A54:F59" xr:uid="{00000000-0009-0000-0100-000006000000}"/>
  <tableColumns count="6">
    <tableColumn id="1" xr3:uid="{00000000-0010-0000-0500-000001000000}" name="Required evidence function"/>
    <tableColumn id="2" xr3:uid="{00000000-0010-0000-0500-000002000000}" name="Selected study"/>
    <tableColumn id="3" xr3:uid="{00000000-0010-0000-0500-000003000000}" name="Strongest alternative"/>
    <tableColumn id="4" xr3:uid="{00000000-0010-0000-0500-000004000000}" name="Why the selected study wins"/>
    <tableColumn id="5" xr3:uid="{00000000-0010-0000-0500-000005000000}" name="Transfer boundary"/>
    <tableColumn id="6" xr3:uid="{00000000-0010-0000-0500-000006000000}" name="Gate status"/>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ensitivityScenarios" displayName="SensitivityScenarios" ref="A62:I68">
  <autoFilter ref="A62:I68" xr:uid="{00000000-0009-0000-0100-000007000000}"/>
  <tableColumns count="9">
    <tableColumn id="1" xr3:uid="{00000000-0010-0000-0600-000001000000}" name="Scenario"/>
    <tableColumn id="2" xr3:uid="{00000000-0010-0000-0600-000002000000}" name="Direct-fit weight"/>
    <tableColumn id="3" xr3:uid="{00000000-0010-0000-0600-000003000000}" name="Target/data/horizon"/>
    <tableColumn id="4" xr3:uid="{00000000-0010-0000-0600-000004000000}" name="Temporal/leakage"/>
    <tableColumn id="5" xr3:uid="{00000000-0010-0000-0600-000005000000}" name="Method/evaluation"/>
    <tableColumn id="6" xr3:uid="{00000000-0010-0000-0600-000006000000}" name="Evidence reliability"/>
    <tableColumn id="7" xr3:uid="{00000000-0010-0000-0600-000007000000}" name="Raw top five"/>
    <tableColumn id="8" xr3:uid="{00000000-0010-0000-0600-000008000000}" name="Final five after role gate"/>
    <tableColumn id="9" xr3:uid="{00000000-0010-0000-0600-000009000000}" name="Conclus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etailedScoreAudit" displayName="DetailedScoreAudit" ref="A73:H123">
  <autoFilter ref="A73:H123" xr:uid="{00000000-0009-0000-0100-000008000000}"/>
  <tableColumns count="8">
    <tableColumn id="1" xr3:uid="{00000000-0010-0000-0700-000001000000}" name="Study ID"/>
    <tableColumn id="2" xr3:uid="{00000000-0010-0000-0700-000002000000}" name="Study title"/>
    <tableColumn id="3" xr3:uid="{00000000-0010-0000-0700-000003000000}" name="Criterion"/>
    <tableColumn id="4" xr3:uid="{00000000-0010-0000-0700-000004000000}" name="Weight"/>
    <tableColumn id="5" xr3:uid="{00000000-0010-0000-0700-000005000000}" name="Rating (0–5)"/>
    <tableColumn id="6" xr3:uid="{00000000-0010-0000-0700-000006000000}" name="Weighted points"/>
    <tableColumn id="7" xr3:uid="{00000000-0010-0000-0700-000007000000}" name="Evidence-based justification"/>
    <tableColumn id="8" xr3:uid="{00000000-0010-0000-0700-000008000000}" name="Evidence locato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ieldDefinitions" displayName="FieldDefinitions" ref="A5:F137">
  <autoFilter ref="A5:F137" xr:uid="{00000000-0009-0000-0100-000009000000}"/>
  <tableColumns count="6">
    <tableColumn id="1" xr3:uid="{00000000-0010-0000-0800-000001000000}" name="Category"/>
    <tableColumn id="2" xr3:uid="{00000000-0010-0000-0800-000002000000}" name="Field or status"/>
    <tableColumn id="3" xr3:uid="{00000000-0010-0000-0800-000003000000}" name="Reader-friendly label"/>
    <tableColumn id="4" xr3:uid="{00000000-0010-0000-0800-000004000000}" name="Definition"/>
    <tableColumn id="5" xr3:uid="{00000000-0010-0000-0800-000005000000}" name="Allowed values or scale"/>
    <tableColumn id="6" xr3:uid="{00000000-0010-0000-0800-000006000000}" name="Evidence required / use 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2/for.70114" TargetMode="External"/><Relationship Id="rId13" Type="http://schemas.openxmlformats.org/officeDocument/2006/relationships/hyperlink" Target="https://doi.org/10.17016/FEDS.2025.061" TargetMode="External"/><Relationship Id="rId18" Type="http://schemas.openxmlformats.org/officeDocument/2006/relationships/table" Target="../tables/table2.xml"/><Relationship Id="rId3" Type="http://schemas.openxmlformats.org/officeDocument/2006/relationships/hyperlink" Target="https://doi.org/10.1002/for.70114" TargetMode="External"/><Relationship Id="rId21" Type="http://schemas.openxmlformats.org/officeDocument/2006/relationships/table" Target="../tables/table5.xml"/><Relationship Id="rId7" Type="http://schemas.openxmlformats.org/officeDocument/2006/relationships/hyperlink" Target="https://doi.org/10.1080/14697688.2025.2454623" TargetMode="External"/><Relationship Id="rId12" Type="http://schemas.openxmlformats.org/officeDocument/2006/relationships/hyperlink" Target="https://doi.org/10.1093/jjfinec/nbae014" TargetMode="External"/><Relationship Id="rId17" Type="http://schemas.openxmlformats.org/officeDocument/2006/relationships/table" Target="../tables/table1.xml"/><Relationship Id="rId25" Type="http://schemas.openxmlformats.org/officeDocument/2006/relationships/comments" Target="../comments1.xml"/><Relationship Id="rId2" Type="http://schemas.openxmlformats.org/officeDocument/2006/relationships/hyperlink" Target="https://doi.org/10.1080/14697688.2025.2454623" TargetMode="External"/><Relationship Id="rId16" Type="http://schemas.openxmlformats.org/officeDocument/2006/relationships/vmlDrawing" Target="../drawings/vmlDrawing1.vml"/><Relationship Id="rId20" Type="http://schemas.openxmlformats.org/officeDocument/2006/relationships/table" Target="../tables/table4.xml"/><Relationship Id="rId1" Type="http://schemas.openxmlformats.org/officeDocument/2006/relationships/hyperlink" Target="https://doi.org/10.1002/fut.22241" TargetMode="External"/><Relationship Id="rId6" Type="http://schemas.openxmlformats.org/officeDocument/2006/relationships/hyperlink" Target="https://doi.org/10.1002/fut.22241" TargetMode="External"/><Relationship Id="rId11" Type="http://schemas.openxmlformats.org/officeDocument/2006/relationships/hyperlink" Target="https://doi.org/10.1016/j.ijforecast.2024.09.002" TargetMode="External"/><Relationship Id="rId24" Type="http://schemas.openxmlformats.org/officeDocument/2006/relationships/table" Target="../tables/table8.xml"/><Relationship Id="rId5" Type="http://schemas.openxmlformats.org/officeDocument/2006/relationships/hyperlink" Target="https://doi.org/10.1016/j.jeconom.2010.12.010" TargetMode="External"/><Relationship Id="rId15" Type="http://schemas.openxmlformats.org/officeDocument/2006/relationships/hyperlink" Target="https://doi.org/10.1002/for.70107" TargetMode="External"/><Relationship Id="rId23" Type="http://schemas.openxmlformats.org/officeDocument/2006/relationships/table" Target="../tables/table7.xml"/><Relationship Id="rId10" Type="http://schemas.openxmlformats.org/officeDocument/2006/relationships/hyperlink" Target="https://doi.org/10.1016/j.jeconom.2010.12.010" TargetMode="External"/><Relationship Id="rId19" Type="http://schemas.openxmlformats.org/officeDocument/2006/relationships/table" Target="../tables/table3.xml"/><Relationship Id="rId4" Type="http://schemas.openxmlformats.org/officeDocument/2006/relationships/hyperlink" Target="https://doi.org/10.1111/j.1540-6261.2008.01352.x" TargetMode="External"/><Relationship Id="rId9" Type="http://schemas.openxmlformats.org/officeDocument/2006/relationships/hyperlink" Target="https://doi.org/10.1111/j.1540-6261.2008.01352.x" TargetMode="External"/><Relationship Id="rId14" Type="http://schemas.openxmlformats.org/officeDocument/2006/relationships/hyperlink" Target="https://doi.org/10.1002/for.3146" TargetMode="External"/><Relationship Id="rId22" Type="http://schemas.openxmlformats.org/officeDocument/2006/relationships/table" Target="../tables/table6.xml"/></Relationships>
</file>

<file path=xl/worksheets/_rels/sheet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specs/001-pit-options-rv30/contracts/benchmark-evaluation-contract.m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pageSetUpPr fitToPage="1"/>
  </sheetPr>
  <dimension ref="A1:Q125"/>
  <sheetViews>
    <sheetView showGridLines="0" tabSelected="1" zoomScale="85" workbookViewId="0">
      <pane ySplit="5" topLeftCell="A6" activePane="bottomLeft" state="frozen"/>
      <selection pane="bottomLeft" sqref="A1:K1"/>
    </sheetView>
  </sheetViews>
  <sheetFormatPr defaultRowHeight="14.25" x14ac:dyDescent="0.45"/>
  <cols>
    <col min="1" max="1" width="12" customWidth="1"/>
    <col min="2" max="2" width="18" customWidth="1"/>
    <col min="3" max="3" width="45" customWidth="1"/>
    <col min="4" max="4" width="28" customWidth="1"/>
    <col min="5" max="5" width="22" customWidth="1"/>
    <col min="6" max="6" width="18" customWidth="1"/>
    <col min="7" max="7" width="25" customWidth="1"/>
    <col min="8" max="8" width="58" customWidth="1"/>
    <col min="9" max="9" width="55" customWidth="1"/>
    <col min="10" max="10" width="18" customWidth="1"/>
    <col min="11" max="11" width="28" customWidth="1"/>
    <col min="12" max="12" width="36" customWidth="1"/>
    <col min="13" max="13" width="58" customWidth="1"/>
    <col min="14" max="14" width="52" customWidth="1"/>
    <col min="15" max="15" width="42" customWidth="1"/>
    <col min="16" max="16" width="30" customWidth="1"/>
    <col min="17" max="17" width="68" customWidth="1"/>
  </cols>
  <sheetData>
    <row r="1" spans="1:17" ht="34.049999999999997" customHeight="1" x14ac:dyDescent="0.45">
      <c r="A1" s="33" t="s">
        <v>0</v>
      </c>
      <c r="B1" s="26"/>
      <c r="C1" s="26"/>
      <c r="D1" s="26"/>
      <c r="E1" s="26"/>
      <c r="F1" s="26"/>
      <c r="G1" s="26"/>
      <c r="H1" s="26"/>
      <c r="I1" s="26"/>
      <c r="J1" s="26"/>
      <c r="K1" s="26"/>
    </row>
    <row r="2" spans="1:17" ht="30" customHeight="1" x14ac:dyDescent="0.45">
      <c r="A2" s="31" t="s">
        <v>1</v>
      </c>
      <c r="B2" s="26"/>
      <c r="C2" s="26"/>
      <c r="D2" s="26"/>
      <c r="E2" s="26"/>
      <c r="F2" s="26"/>
      <c r="G2" s="26"/>
      <c r="H2" s="26"/>
      <c r="I2" s="26"/>
      <c r="J2" s="26"/>
      <c r="K2" s="26"/>
    </row>
    <row r="3" spans="1:17" ht="34.049999999999997" customHeight="1" x14ac:dyDescent="0.45">
      <c r="A3" s="27" t="s">
        <v>2</v>
      </c>
      <c r="B3" s="26"/>
      <c r="C3" s="26"/>
      <c r="D3" s="26"/>
      <c r="E3" s="26"/>
      <c r="F3" s="26"/>
      <c r="G3" s="26"/>
      <c r="H3" s="26"/>
      <c r="I3" s="26"/>
      <c r="J3" s="26"/>
      <c r="K3" s="26"/>
    </row>
    <row r="4" spans="1:17" ht="34.049999999999997" customHeight="1" x14ac:dyDescent="0.45">
      <c r="A4" s="25" t="s">
        <v>3</v>
      </c>
      <c r="B4" s="26"/>
      <c r="C4" s="26"/>
      <c r="D4" s="26"/>
      <c r="E4" s="26"/>
      <c r="F4" s="26"/>
      <c r="G4" s="26"/>
      <c r="H4" s="26"/>
      <c r="I4" s="26"/>
      <c r="J4" s="26"/>
      <c r="K4" s="26"/>
    </row>
    <row r="5" spans="1:17" ht="24" customHeight="1" x14ac:dyDescent="0.45">
      <c r="A5" s="29" t="s">
        <v>4</v>
      </c>
      <c r="B5" s="26"/>
      <c r="C5" s="26"/>
      <c r="D5" s="26"/>
      <c r="E5" s="26"/>
      <c r="F5" s="26"/>
      <c r="G5" s="26"/>
      <c r="H5" s="26"/>
      <c r="I5" s="26"/>
      <c r="J5" s="26"/>
      <c r="K5" s="26"/>
    </row>
    <row r="6" spans="1:17" ht="42" customHeight="1" x14ac:dyDescent="0.45">
      <c r="A6" s="1" t="s">
        <v>5</v>
      </c>
      <c r="B6" s="1" t="s">
        <v>6</v>
      </c>
      <c r="C6" s="1" t="s">
        <v>7</v>
      </c>
      <c r="D6" s="1" t="s">
        <v>8</v>
      </c>
      <c r="E6" s="1" t="s">
        <v>9</v>
      </c>
      <c r="F6" s="1" t="s">
        <v>10</v>
      </c>
      <c r="G6" s="1" t="s">
        <v>11</v>
      </c>
      <c r="H6" s="1" t="s">
        <v>12</v>
      </c>
      <c r="I6" s="1" t="s">
        <v>13</v>
      </c>
      <c r="J6" s="1" t="s">
        <v>14</v>
      </c>
      <c r="K6" s="1" t="s">
        <v>15</v>
      </c>
    </row>
    <row r="7" spans="1:17" ht="72" customHeight="1" x14ac:dyDescent="0.45">
      <c r="A7" s="2">
        <v>1</v>
      </c>
      <c r="B7" s="2" t="s">
        <v>16</v>
      </c>
      <c r="C7" s="2" t="s">
        <v>17</v>
      </c>
      <c r="D7" s="3" t="s">
        <v>18</v>
      </c>
      <c r="E7" s="2" t="s">
        <v>19</v>
      </c>
      <c r="F7" s="4">
        <v>80</v>
      </c>
      <c r="G7" s="2" t="s">
        <v>20</v>
      </c>
      <c r="H7" s="2" t="s">
        <v>21</v>
      </c>
      <c r="I7" s="2" t="s">
        <v>22</v>
      </c>
      <c r="J7" s="2" t="s">
        <v>23</v>
      </c>
      <c r="K7" s="5" t="s">
        <v>24</v>
      </c>
    </row>
    <row r="8" spans="1:17" ht="72" customHeight="1" x14ac:dyDescent="0.45">
      <c r="A8" s="6">
        <v>2</v>
      </c>
      <c r="B8" s="6" t="s">
        <v>25</v>
      </c>
      <c r="C8" s="6" t="s">
        <v>26</v>
      </c>
      <c r="D8" s="7" t="s">
        <v>27</v>
      </c>
      <c r="E8" s="6" t="s">
        <v>28</v>
      </c>
      <c r="F8" s="8">
        <v>74</v>
      </c>
      <c r="G8" s="6" t="s">
        <v>29</v>
      </c>
      <c r="H8" s="6" t="s">
        <v>30</v>
      </c>
      <c r="I8" s="6" t="s">
        <v>31</v>
      </c>
      <c r="J8" s="6" t="s">
        <v>32</v>
      </c>
      <c r="K8" s="9" t="s">
        <v>33</v>
      </c>
    </row>
    <row r="9" spans="1:17" ht="72" customHeight="1" x14ac:dyDescent="0.45">
      <c r="A9" s="2">
        <v>3</v>
      </c>
      <c r="B9" s="2" t="s">
        <v>34</v>
      </c>
      <c r="C9" s="2" t="s">
        <v>35</v>
      </c>
      <c r="D9" s="3" t="s">
        <v>36</v>
      </c>
      <c r="E9" s="2" t="s">
        <v>37</v>
      </c>
      <c r="F9" s="4">
        <v>74</v>
      </c>
      <c r="G9" s="2" t="s">
        <v>29</v>
      </c>
      <c r="H9" s="2" t="s">
        <v>38</v>
      </c>
      <c r="I9" s="2" t="s">
        <v>39</v>
      </c>
      <c r="J9" s="2" t="s">
        <v>40</v>
      </c>
      <c r="K9" s="5" t="s">
        <v>41</v>
      </c>
    </row>
    <row r="10" spans="1:17" ht="72" customHeight="1" x14ac:dyDescent="0.45">
      <c r="A10" s="6">
        <v>4</v>
      </c>
      <c r="B10" s="6" t="s">
        <v>42</v>
      </c>
      <c r="C10" s="6" t="s">
        <v>43</v>
      </c>
      <c r="D10" s="7" t="s">
        <v>44</v>
      </c>
      <c r="E10" s="6" t="s">
        <v>45</v>
      </c>
      <c r="F10" s="8">
        <v>68</v>
      </c>
      <c r="G10" s="6" t="s">
        <v>29</v>
      </c>
      <c r="H10" s="6" t="s">
        <v>46</v>
      </c>
      <c r="I10" s="6" t="s">
        <v>47</v>
      </c>
      <c r="J10" s="6" t="s">
        <v>48</v>
      </c>
      <c r="K10" s="9" t="s">
        <v>49</v>
      </c>
    </row>
    <row r="11" spans="1:17" ht="72" customHeight="1" x14ac:dyDescent="0.45">
      <c r="A11" s="2">
        <v>5</v>
      </c>
      <c r="B11" s="2" t="s">
        <v>50</v>
      </c>
      <c r="C11" s="2" t="s">
        <v>51</v>
      </c>
      <c r="D11" s="3" t="s">
        <v>52</v>
      </c>
      <c r="E11" s="2" t="s">
        <v>53</v>
      </c>
      <c r="F11" s="4">
        <v>68</v>
      </c>
      <c r="G11" s="2" t="s">
        <v>29</v>
      </c>
      <c r="H11" s="2" t="s">
        <v>54</v>
      </c>
      <c r="I11" s="2" t="s">
        <v>55</v>
      </c>
      <c r="J11" s="2" t="s">
        <v>56</v>
      </c>
      <c r="K11" s="5" t="s">
        <v>57</v>
      </c>
    </row>
    <row r="13" spans="1:17" ht="24" customHeight="1" x14ac:dyDescent="0.45">
      <c r="A13" s="29" t="s">
        <v>58</v>
      </c>
      <c r="B13" s="26"/>
      <c r="C13" s="26"/>
      <c r="D13" s="26"/>
      <c r="E13" s="26"/>
      <c r="F13" s="26"/>
      <c r="G13" s="26"/>
      <c r="H13" s="26"/>
      <c r="I13" s="26"/>
      <c r="J13" s="26"/>
      <c r="K13" s="26"/>
      <c r="L13" s="26"/>
      <c r="M13" s="26"/>
      <c r="N13" s="26"/>
      <c r="O13" s="26"/>
      <c r="P13" s="26"/>
      <c r="Q13" s="26"/>
    </row>
    <row r="14" spans="1:17" ht="52.05" customHeight="1" x14ac:dyDescent="0.45">
      <c r="A14" s="1" t="s">
        <v>59</v>
      </c>
      <c r="B14" s="1" t="s">
        <v>60</v>
      </c>
      <c r="C14" s="1" t="s">
        <v>6</v>
      </c>
      <c r="D14" s="1" t="s">
        <v>7</v>
      </c>
      <c r="E14" s="1" t="s">
        <v>61</v>
      </c>
      <c r="F14" s="1" t="s">
        <v>62</v>
      </c>
      <c r="G14" s="1" t="s">
        <v>63</v>
      </c>
      <c r="H14" s="1" t="s">
        <v>64</v>
      </c>
      <c r="I14" s="1" t="s">
        <v>65</v>
      </c>
      <c r="J14" s="1" t="s">
        <v>66</v>
      </c>
      <c r="K14" s="1" t="s">
        <v>11</v>
      </c>
      <c r="L14" s="1" t="s">
        <v>67</v>
      </c>
      <c r="M14" s="1" t="s">
        <v>68</v>
      </c>
      <c r="N14" s="1" t="s">
        <v>69</v>
      </c>
      <c r="O14" s="1" t="s">
        <v>14</v>
      </c>
      <c r="P14" s="1" t="s">
        <v>15</v>
      </c>
      <c r="Q14" s="1" t="s">
        <v>70</v>
      </c>
    </row>
    <row r="15" spans="1:17" ht="72" customHeight="1" x14ac:dyDescent="0.45">
      <c r="A15" s="2">
        <v>1</v>
      </c>
      <c r="B15" s="3" t="s">
        <v>71</v>
      </c>
      <c r="C15" s="2" t="s">
        <v>16</v>
      </c>
      <c r="D15" s="2" t="s">
        <v>17</v>
      </c>
      <c r="E15" s="10">
        <v>36</v>
      </c>
      <c r="F15" s="10">
        <v>9</v>
      </c>
      <c r="G15" s="10">
        <v>12</v>
      </c>
      <c r="H15" s="10">
        <v>15</v>
      </c>
      <c r="I15" s="10">
        <v>8</v>
      </c>
      <c r="J15" s="11">
        <f t="shared" ref="J15:J24" si="0">SUM(E15:I15)</f>
        <v>80</v>
      </c>
      <c r="K15" s="10" t="s">
        <v>20</v>
      </c>
      <c r="L15" s="10" t="s">
        <v>19</v>
      </c>
      <c r="M15" s="10" t="s">
        <v>21</v>
      </c>
      <c r="N15" s="10" t="s">
        <v>22</v>
      </c>
      <c r="O15" s="10" t="s">
        <v>23</v>
      </c>
      <c r="P15" s="12" t="s">
        <v>24</v>
      </c>
      <c r="Q15" s="10" t="s">
        <v>72</v>
      </c>
    </row>
    <row r="16" spans="1:17" ht="72" customHeight="1" x14ac:dyDescent="0.45">
      <c r="A16" s="2">
        <v>2</v>
      </c>
      <c r="B16" s="3" t="s">
        <v>71</v>
      </c>
      <c r="C16" s="2" t="s">
        <v>25</v>
      </c>
      <c r="D16" s="2" t="s">
        <v>26</v>
      </c>
      <c r="E16" s="10">
        <v>36</v>
      </c>
      <c r="F16" s="10">
        <v>12</v>
      </c>
      <c r="G16" s="10">
        <v>6</v>
      </c>
      <c r="H16" s="10">
        <v>12</v>
      </c>
      <c r="I16" s="10">
        <v>8</v>
      </c>
      <c r="J16" s="11">
        <f t="shared" si="0"/>
        <v>74</v>
      </c>
      <c r="K16" s="10" t="s">
        <v>29</v>
      </c>
      <c r="L16" s="10" t="s">
        <v>28</v>
      </c>
      <c r="M16" s="10" t="s">
        <v>30</v>
      </c>
      <c r="N16" s="10" t="s">
        <v>31</v>
      </c>
      <c r="O16" s="10" t="s">
        <v>32</v>
      </c>
      <c r="P16" s="12" t="s">
        <v>33</v>
      </c>
      <c r="Q16" s="10" t="s">
        <v>73</v>
      </c>
    </row>
    <row r="17" spans="1:17" ht="72" customHeight="1" x14ac:dyDescent="0.45">
      <c r="A17" s="2">
        <v>3</v>
      </c>
      <c r="B17" s="3" t="s">
        <v>71</v>
      </c>
      <c r="C17" s="2" t="s">
        <v>34</v>
      </c>
      <c r="D17" s="2" t="s">
        <v>35</v>
      </c>
      <c r="E17" s="10">
        <v>27</v>
      </c>
      <c r="F17" s="10">
        <v>12</v>
      </c>
      <c r="G17" s="10">
        <v>12</v>
      </c>
      <c r="H17" s="10">
        <v>15</v>
      </c>
      <c r="I17" s="10">
        <v>8</v>
      </c>
      <c r="J17" s="11">
        <f t="shared" si="0"/>
        <v>74</v>
      </c>
      <c r="K17" s="10" t="s">
        <v>29</v>
      </c>
      <c r="L17" s="10" t="s">
        <v>37</v>
      </c>
      <c r="M17" s="10" t="s">
        <v>38</v>
      </c>
      <c r="N17" s="10" t="s">
        <v>39</v>
      </c>
      <c r="O17" s="10" t="s">
        <v>40</v>
      </c>
      <c r="P17" s="12" t="s">
        <v>41</v>
      </c>
      <c r="Q17" s="10" t="s">
        <v>74</v>
      </c>
    </row>
    <row r="18" spans="1:17" ht="72" customHeight="1" x14ac:dyDescent="0.45">
      <c r="A18" s="2">
        <v>4</v>
      </c>
      <c r="B18" s="3" t="s">
        <v>71</v>
      </c>
      <c r="C18" s="2" t="s">
        <v>42</v>
      </c>
      <c r="D18" s="2" t="s">
        <v>43</v>
      </c>
      <c r="E18" s="10">
        <v>45</v>
      </c>
      <c r="F18" s="10">
        <v>6</v>
      </c>
      <c r="G18" s="10">
        <v>3</v>
      </c>
      <c r="H18" s="10">
        <v>6</v>
      </c>
      <c r="I18" s="10">
        <v>8</v>
      </c>
      <c r="J18" s="11">
        <f t="shared" si="0"/>
        <v>68</v>
      </c>
      <c r="K18" s="10" t="s">
        <v>29</v>
      </c>
      <c r="L18" s="10" t="s">
        <v>45</v>
      </c>
      <c r="M18" s="10" t="s">
        <v>46</v>
      </c>
      <c r="N18" s="10" t="s">
        <v>47</v>
      </c>
      <c r="O18" s="10" t="s">
        <v>48</v>
      </c>
      <c r="P18" s="12" t="s">
        <v>49</v>
      </c>
      <c r="Q18" s="10" t="s">
        <v>75</v>
      </c>
    </row>
    <row r="19" spans="1:17" ht="72" customHeight="1" x14ac:dyDescent="0.45">
      <c r="A19" s="13">
        <v>5</v>
      </c>
      <c r="B19" s="14" t="s">
        <v>71</v>
      </c>
      <c r="C19" s="13" t="s">
        <v>50</v>
      </c>
      <c r="D19" s="13" t="s">
        <v>51</v>
      </c>
      <c r="E19" s="15">
        <v>27</v>
      </c>
      <c r="F19" s="15">
        <v>12</v>
      </c>
      <c r="G19" s="15">
        <v>6</v>
      </c>
      <c r="H19" s="15">
        <v>15</v>
      </c>
      <c r="I19" s="15">
        <v>8</v>
      </c>
      <c r="J19" s="16">
        <f t="shared" si="0"/>
        <v>68</v>
      </c>
      <c r="K19" s="15" t="s">
        <v>29</v>
      </c>
      <c r="L19" s="15" t="s">
        <v>53</v>
      </c>
      <c r="M19" s="15" t="s">
        <v>54</v>
      </c>
      <c r="N19" s="15" t="s">
        <v>55</v>
      </c>
      <c r="O19" s="15" t="s">
        <v>56</v>
      </c>
      <c r="P19" s="17" t="s">
        <v>57</v>
      </c>
      <c r="Q19" s="15" t="s">
        <v>76</v>
      </c>
    </row>
    <row r="20" spans="1:17" ht="72" customHeight="1" x14ac:dyDescent="0.45">
      <c r="A20" s="10">
        <v>6</v>
      </c>
      <c r="B20" s="18" t="s">
        <v>77</v>
      </c>
      <c r="C20" s="10" t="s">
        <v>78</v>
      </c>
      <c r="D20" s="10" t="s">
        <v>79</v>
      </c>
      <c r="E20" s="10">
        <v>18</v>
      </c>
      <c r="F20" s="10">
        <v>12</v>
      </c>
      <c r="G20" s="10">
        <v>15</v>
      </c>
      <c r="H20" s="10">
        <v>12</v>
      </c>
      <c r="I20" s="10">
        <v>6</v>
      </c>
      <c r="J20" s="11">
        <f t="shared" si="0"/>
        <v>63</v>
      </c>
      <c r="K20" s="10" t="s">
        <v>80</v>
      </c>
      <c r="L20" s="10" t="s">
        <v>81</v>
      </c>
      <c r="M20" s="10" t="s">
        <v>82</v>
      </c>
      <c r="N20" s="10" t="s">
        <v>83</v>
      </c>
      <c r="O20" s="10" t="s">
        <v>84</v>
      </c>
      <c r="P20" s="12" t="s">
        <v>85</v>
      </c>
      <c r="Q20" s="10" t="s">
        <v>86</v>
      </c>
    </row>
    <row r="21" spans="1:17" ht="72" customHeight="1" x14ac:dyDescent="0.45">
      <c r="A21" s="10">
        <v>7</v>
      </c>
      <c r="B21" s="19" t="s">
        <v>87</v>
      </c>
      <c r="C21" s="10" t="s">
        <v>88</v>
      </c>
      <c r="D21" s="10" t="s">
        <v>89</v>
      </c>
      <c r="E21" s="10">
        <v>18</v>
      </c>
      <c r="F21" s="10">
        <v>12</v>
      </c>
      <c r="G21" s="10">
        <v>12</v>
      </c>
      <c r="H21" s="10">
        <v>12</v>
      </c>
      <c r="I21" s="10">
        <v>6</v>
      </c>
      <c r="J21" s="11">
        <f t="shared" si="0"/>
        <v>60</v>
      </c>
      <c r="K21" s="10" t="s">
        <v>80</v>
      </c>
      <c r="L21" s="10" t="s">
        <v>90</v>
      </c>
      <c r="M21" s="10" t="s">
        <v>91</v>
      </c>
      <c r="N21" s="10" t="s">
        <v>92</v>
      </c>
      <c r="O21" s="10" t="s">
        <v>93</v>
      </c>
      <c r="P21" s="12" t="s">
        <v>94</v>
      </c>
      <c r="Q21" s="10" t="s">
        <v>95</v>
      </c>
    </row>
    <row r="22" spans="1:17" ht="72" customHeight="1" x14ac:dyDescent="0.45">
      <c r="A22" s="10">
        <v>8</v>
      </c>
      <c r="B22" s="19" t="s">
        <v>87</v>
      </c>
      <c r="C22" s="10" t="s">
        <v>96</v>
      </c>
      <c r="D22" s="10" t="s">
        <v>97</v>
      </c>
      <c r="E22" s="10">
        <v>18</v>
      </c>
      <c r="F22" s="10">
        <v>9</v>
      </c>
      <c r="G22" s="10">
        <v>9</v>
      </c>
      <c r="H22" s="10">
        <v>12</v>
      </c>
      <c r="I22" s="10">
        <v>4</v>
      </c>
      <c r="J22" s="11">
        <f t="shared" si="0"/>
        <v>52</v>
      </c>
      <c r="K22" s="10" t="s">
        <v>80</v>
      </c>
      <c r="L22" s="10" t="s">
        <v>98</v>
      </c>
      <c r="M22" s="10" t="s">
        <v>99</v>
      </c>
      <c r="N22" s="10" t="s">
        <v>100</v>
      </c>
      <c r="O22" s="10" t="s">
        <v>101</v>
      </c>
      <c r="P22" s="12" t="s">
        <v>102</v>
      </c>
      <c r="Q22" s="10" t="s">
        <v>103</v>
      </c>
    </row>
    <row r="23" spans="1:17" ht="72" customHeight="1" x14ac:dyDescent="0.45">
      <c r="A23" s="10">
        <v>9</v>
      </c>
      <c r="B23" s="19" t="s">
        <v>87</v>
      </c>
      <c r="C23" s="10" t="s">
        <v>104</v>
      </c>
      <c r="D23" s="10" t="s">
        <v>105</v>
      </c>
      <c r="E23" s="10">
        <v>9</v>
      </c>
      <c r="F23" s="10">
        <v>9</v>
      </c>
      <c r="G23" s="10">
        <v>9</v>
      </c>
      <c r="H23" s="10">
        <v>6</v>
      </c>
      <c r="I23" s="10">
        <v>6</v>
      </c>
      <c r="J23" s="11">
        <f t="shared" si="0"/>
        <v>39</v>
      </c>
      <c r="K23" s="10" t="s">
        <v>106</v>
      </c>
      <c r="L23" s="10" t="s">
        <v>107</v>
      </c>
      <c r="M23" s="10" t="s">
        <v>108</v>
      </c>
      <c r="N23" s="10" t="s">
        <v>109</v>
      </c>
      <c r="O23" s="10" t="s">
        <v>110</v>
      </c>
      <c r="P23" s="12" t="s">
        <v>111</v>
      </c>
      <c r="Q23" s="10" t="s">
        <v>112</v>
      </c>
    </row>
    <row r="24" spans="1:17" ht="72" customHeight="1" x14ac:dyDescent="0.45">
      <c r="A24" s="10">
        <v>10</v>
      </c>
      <c r="B24" s="19" t="s">
        <v>87</v>
      </c>
      <c r="C24" s="10" t="s">
        <v>113</v>
      </c>
      <c r="D24" s="10" t="s">
        <v>114</v>
      </c>
      <c r="E24" s="10">
        <v>9</v>
      </c>
      <c r="F24" s="10">
        <v>6</v>
      </c>
      <c r="G24" s="10">
        <v>6</v>
      </c>
      <c r="H24" s="10">
        <v>9</v>
      </c>
      <c r="I24" s="10">
        <v>6</v>
      </c>
      <c r="J24" s="11">
        <f t="shared" si="0"/>
        <v>36</v>
      </c>
      <c r="K24" s="10" t="s">
        <v>106</v>
      </c>
      <c r="L24" s="10" t="s">
        <v>115</v>
      </c>
      <c r="M24" s="10" t="s">
        <v>116</v>
      </c>
      <c r="N24" s="10" t="s">
        <v>117</v>
      </c>
      <c r="O24" s="10" t="s">
        <v>118</v>
      </c>
      <c r="P24" s="12" t="s">
        <v>119</v>
      </c>
      <c r="Q24" s="10" t="s">
        <v>120</v>
      </c>
    </row>
    <row r="26" spans="1:17" ht="24" customHeight="1" x14ac:dyDescent="0.45">
      <c r="A26" s="29" t="s">
        <v>121</v>
      </c>
      <c r="B26" s="26"/>
      <c r="C26" s="26"/>
      <c r="D26" s="26"/>
      <c r="E26" s="26"/>
      <c r="F26" s="26"/>
    </row>
    <row r="27" spans="1:17" ht="26.25" x14ac:dyDescent="0.45">
      <c r="A27" s="1" t="s">
        <v>122</v>
      </c>
      <c r="B27" s="1" t="s">
        <v>123</v>
      </c>
      <c r="C27" s="1" t="s">
        <v>124</v>
      </c>
      <c r="D27" s="1" t="s">
        <v>125</v>
      </c>
      <c r="E27" s="1" t="s">
        <v>126</v>
      </c>
      <c r="F27" s="1" t="s">
        <v>127</v>
      </c>
    </row>
    <row r="28" spans="1:17" ht="54" customHeight="1" x14ac:dyDescent="0.45">
      <c r="A28" s="10" t="s">
        <v>128</v>
      </c>
      <c r="B28" s="10" t="s">
        <v>129</v>
      </c>
      <c r="C28" s="10" t="s">
        <v>130</v>
      </c>
      <c r="D28" s="10" t="s">
        <v>131</v>
      </c>
      <c r="E28" s="10" t="s">
        <v>132</v>
      </c>
      <c r="F28" s="10" t="s">
        <v>133</v>
      </c>
    </row>
    <row r="29" spans="1:17" ht="54" customHeight="1" x14ac:dyDescent="0.45">
      <c r="A29" s="10" t="s">
        <v>134</v>
      </c>
      <c r="B29" s="10" t="s">
        <v>129</v>
      </c>
      <c r="C29" s="10" t="s">
        <v>135</v>
      </c>
      <c r="D29" s="10" t="s">
        <v>136</v>
      </c>
      <c r="E29" s="10" t="s">
        <v>137</v>
      </c>
      <c r="F29" s="10" t="s">
        <v>133</v>
      </c>
    </row>
    <row r="30" spans="1:17" ht="54" customHeight="1" x14ac:dyDescent="0.45">
      <c r="A30" s="10" t="s">
        <v>138</v>
      </c>
      <c r="B30" s="10" t="s">
        <v>139</v>
      </c>
      <c r="C30" s="10" t="s">
        <v>140</v>
      </c>
      <c r="D30" s="10" t="s">
        <v>141</v>
      </c>
      <c r="E30" s="10" t="s">
        <v>142</v>
      </c>
      <c r="F30" s="10" t="s">
        <v>133</v>
      </c>
    </row>
    <row r="31" spans="1:17" ht="54" customHeight="1" x14ac:dyDescent="0.45">
      <c r="A31" s="10" t="s">
        <v>143</v>
      </c>
      <c r="B31" s="10" t="s">
        <v>144</v>
      </c>
      <c r="C31" s="10" t="s">
        <v>145</v>
      </c>
      <c r="D31" s="10" t="s">
        <v>146</v>
      </c>
      <c r="E31" s="10" t="s">
        <v>147</v>
      </c>
      <c r="F31" s="10" t="s">
        <v>133</v>
      </c>
    </row>
    <row r="32" spans="1:17" ht="54" customHeight="1" x14ac:dyDescent="0.45">
      <c r="A32" s="10" t="s">
        <v>148</v>
      </c>
      <c r="B32" s="10" t="s">
        <v>149</v>
      </c>
      <c r="C32" s="10" t="s">
        <v>150</v>
      </c>
      <c r="D32" s="10" t="s">
        <v>151</v>
      </c>
      <c r="E32" s="10" t="s">
        <v>152</v>
      </c>
      <c r="F32" s="10" t="s">
        <v>133</v>
      </c>
    </row>
    <row r="33" spans="1:9" ht="54" customHeight="1" x14ac:dyDescent="0.45">
      <c r="A33" s="10" t="s">
        <v>153</v>
      </c>
      <c r="B33" s="10" t="s">
        <v>154</v>
      </c>
      <c r="C33" s="10" t="s">
        <v>155</v>
      </c>
      <c r="D33" s="10" t="s">
        <v>156</v>
      </c>
      <c r="E33" s="10" t="s">
        <v>157</v>
      </c>
      <c r="F33" s="10" t="s">
        <v>133</v>
      </c>
    </row>
    <row r="34" spans="1:9" ht="54" customHeight="1" x14ac:dyDescent="0.45">
      <c r="A34" s="10" t="s">
        <v>158</v>
      </c>
      <c r="B34" s="10" t="s">
        <v>159</v>
      </c>
      <c r="C34" s="10" t="s">
        <v>160</v>
      </c>
      <c r="D34" s="10" t="s">
        <v>161</v>
      </c>
      <c r="E34" s="10" t="s">
        <v>162</v>
      </c>
      <c r="F34" s="10" t="s">
        <v>133</v>
      </c>
    </row>
    <row r="36" spans="1:9" ht="24" customHeight="1" x14ac:dyDescent="0.45">
      <c r="A36" s="29" t="s">
        <v>163</v>
      </c>
      <c r="B36" s="26"/>
      <c r="C36" s="26"/>
      <c r="D36" s="26"/>
      <c r="E36" s="26"/>
      <c r="F36" s="26"/>
      <c r="G36" s="26"/>
      <c r="H36" s="26"/>
      <c r="I36" s="26"/>
    </row>
    <row r="37" spans="1:9" x14ac:dyDescent="0.45">
      <c r="A37" s="1" t="s">
        <v>164</v>
      </c>
      <c r="B37" s="1" t="s">
        <v>165</v>
      </c>
      <c r="C37" s="1" t="s">
        <v>166</v>
      </c>
      <c r="D37" s="1" t="s">
        <v>167</v>
      </c>
      <c r="E37" s="1" t="s">
        <v>168</v>
      </c>
      <c r="F37" s="1" t="s">
        <v>169</v>
      </c>
      <c r="G37" s="1" t="s">
        <v>170</v>
      </c>
      <c r="H37" s="1" t="s">
        <v>171</v>
      </c>
      <c r="I37" s="1" t="s">
        <v>172</v>
      </c>
    </row>
    <row r="38" spans="1:9" ht="92" customHeight="1" x14ac:dyDescent="0.45">
      <c r="A38" s="10" t="s">
        <v>173</v>
      </c>
      <c r="B38" s="20">
        <v>45</v>
      </c>
      <c r="C38" s="10" t="s">
        <v>174</v>
      </c>
      <c r="D38" s="10" t="s">
        <v>175</v>
      </c>
      <c r="E38" s="10" t="s">
        <v>176</v>
      </c>
      <c r="F38" s="10" t="s">
        <v>177</v>
      </c>
      <c r="G38" s="10" t="s">
        <v>178</v>
      </c>
      <c r="H38" s="10" t="s">
        <v>179</v>
      </c>
      <c r="I38" s="10" t="s">
        <v>180</v>
      </c>
    </row>
    <row r="39" spans="1:9" ht="92" customHeight="1" x14ac:dyDescent="0.45">
      <c r="A39" s="10" t="s">
        <v>181</v>
      </c>
      <c r="B39" s="20">
        <v>15</v>
      </c>
      <c r="C39" s="10" t="s">
        <v>182</v>
      </c>
      <c r="D39" s="10" t="s">
        <v>183</v>
      </c>
      <c r="E39" s="10" t="s">
        <v>184</v>
      </c>
      <c r="F39" s="10" t="s">
        <v>185</v>
      </c>
      <c r="G39" s="10" t="s">
        <v>186</v>
      </c>
      <c r="H39" s="10" t="s">
        <v>187</v>
      </c>
      <c r="I39" s="10" t="s">
        <v>188</v>
      </c>
    </row>
    <row r="40" spans="1:9" ht="92" customHeight="1" x14ac:dyDescent="0.45">
      <c r="A40" s="10" t="s">
        <v>189</v>
      </c>
      <c r="B40" s="20">
        <v>15</v>
      </c>
      <c r="C40" s="10" t="s">
        <v>190</v>
      </c>
      <c r="D40" s="10" t="s">
        <v>191</v>
      </c>
      <c r="E40" s="10" t="s">
        <v>192</v>
      </c>
      <c r="F40" s="10" t="s">
        <v>193</v>
      </c>
      <c r="G40" s="10" t="s">
        <v>194</v>
      </c>
      <c r="H40" s="10" t="s">
        <v>195</v>
      </c>
      <c r="I40" s="10" t="s">
        <v>196</v>
      </c>
    </row>
    <row r="41" spans="1:9" ht="92" customHeight="1" x14ac:dyDescent="0.45">
      <c r="A41" s="10" t="s">
        <v>197</v>
      </c>
      <c r="B41" s="20">
        <v>15</v>
      </c>
      <c r="C41" s="10" t="s">
        <v>198</v>
      </c>
      <c r="D41" s="10" t="s">
        <v>199</v>
      </c>
      <c r="E41" s="10" t="s">
        <v>200</v>
      </c>
      <c r="F41" s="10" t="s">
        <v>201</v>
      </c>
      <c r="G41" s="10" t="s">
        <v>202</v>
      </c>
      <c r="H41" s="10" t="s">
        <v>203</v>
      </c>
      <c r="I41" s="10" t="s">
        <v>204</v>
      </c>
    </row>
    <row r="42" spans="1:9" ht="92" customHeight="1" x14ac:dyDescent="0.45">
      <c r="A42" s="10" t="s">
        <v>205</v>
      </c>
      <c r="B42" s="20">
        <v>10</v>
      </c>
      <c r="C42" s="10" t="s">
        <v>206</v>
      </c>
      <c r="D42" s="10" t="s">
        <v>207</v>
      </c>
      <c r="E42" s="10" t="s">
        <v>208</v>
      </c>
      <c r="F42" s="10" t="s">
        <v>209</v>
      </c>
      <c r="G42" s="10" t="s">
        <v>210</v>
      </c>
      <c r="H42" s="10" t="s">
        <v>211</v>
      </c>
      <c r="I42" s="10" t="s">
        <v>212</v>
      </c>
    </row>
    <row r="44" spans="1:9" ht="30" customHeight="1" x14ac:dyDescent="0.45">
      <c r="A44" s="30" t="s">
        <v>213</v>
      </c>
      <c r="B44" s="26"/>
      <c r="C44" s="26"/>
      <c r="D44" s="26"/>
      <c r="E44" s="26"/>
      <c r="F44" s="26"/>
      <c r="G44" s="26"/>
      <c r="H44" s="26"/>
      <c r="I44" s="26"/>
    </row>
    <row r="46" spans="1:9" ht="24" customHeight="1" x14ac:dyDescent="0.45">
      <c r="A46" s="29" t="s">
        <v>214</v>
      </c>
      <c r="B46" s="26"/>
      <c r="C46" s="26"/>
      <c r="D46" s="26"/>
    </row>
    <row r="47" spans="1:9" x14ac:dyDescent="0.45">
      <c r="A47" s="1" t="s">
        <v>215</v>
      </c>
      <c r="B47" s="1" t="s">
        <v>216</v>
      </c>
      <c r="C47" s="1" t="s">
        <v>217</v>
      </c>
      <c r="D47" s="1" t="s">
        <v>218</v>
      </c>
    </row>
    <row r="48" spans="1:9" ht="30" customHeight="1" x14ac:dyDescent="0.45">
      <c r="A48" s="10" t="s">
        <v>219</v>
      </c>
      <c r="B48" s="10" t="s">
        <v>20</v>
      </c>
      <c r="C48" s="21" t="s">
        <v>220</v>
      </c>
      <c r="D48" s="10" t="s">
        <v>221</v>
      </c>
    </row>
    <row r="49" spans="1:9" ht="30" customHeight="1" x14ac:dyDescent="0.45">
      <c r="A49" s="10" t="s">
        <v>222</v>
      </c>
      <c r="B49" s="10" t="s">
        <v>29</v>
      </c>
      <c r="C49" s="22" t="s">
        <v>223</v>
      </c>
      <c r="D49" s="10" t="s">
        <v>224</v>
      </c>
    </row>
    <row r="50" spans="1:9" ht="30" customHeight="1" x14ac:dyDescent="0.45">
      <c r="A50" s="10" t="s">
        <v>225</v>
      </c>
      <c r="B50" s="10" t="s">
        <v>80</v>
      </c>
      <c r="C50" s="23" t="s">
        <v>226</v>
      </c>
      <c r="D50" s="10" t="s">
        <v>227</v>
      </c>
    </row>
    <row r="51" spans="1:9" ht="30" customHeight="1" x14ac:dyDescent="0.45">
      <c r="A51" s="10" t="s">
        <v>228</v>
      </c>
      <c r="B51" s="10" t="s">
        <v>106</v>
      </c>
      <c r="C51" s="24" t="s">
        <v>229</v>
      </c>
      <c r="D51" s="10" t="s">
        <v>230</v>
      </c>
    </row>
    <row r="53" spans="1:9" ht="24" customHeight="1" x14ac:dyDescent="0.45">
      <c r="A53" s="29" t="s">
        <v>231</v>
      </c>
      <c r="B53" s="26"/>
      <c r="C53" s="26"/>
      <c r="D53" s="26"/>
      <c r="E53" s="26"/>
      <c r="F53" s="26"/>
    </row>
    <row r="54" spans="1:9" ht="39.4" x14ac:dyDescent="0.45">
      <c r="A54" s="1" t="s">
        <v>232</v>
      </c>
      <c r="B54" s="1" t="s">
        <v>233</v>
      </c>
      <c r="C54" s="1" t="s">
        <v>234</v>
      </c>
      <c r="D54" s="1" t="s">
        <v>235</v>
      </c>
      <c r="E54" s="1" t="s">
        <v>236</v>
      </c>
      <c r="F54" s="1" t="s">
        <v>237</v>
      </c>
    </row>
    <row r="55" spans="1:9" ht="58.05" customHeight="1" x14ac:dyDescent="0.45">
      <c r="A55" s="10" t="s">
        <v>238</v>
      </c>
      <c r="B55" s="2" t="s">
        <v>25</v>
      </c>
      <c r="C55" s="10" t="s">
        <v>16</v>
      </c>
      <c r="D55" s="10" t="s">
        <v>239</v>
      </c>
      <c r="E55" s="10" t="s">
        <v>240</v>
      </c>
      <c r="F55" s="2" t="s">
        <v>133</v>
      </c>
    </row>
    <row r="56" spans="1:9" ht="58.05" customHeight="1" x14ac:dyDescent="0.45">
      <c r="A56" s="10" t="s">
        <v>241</v>
      </c>
      <c r="B56" s="2" t="s">
        <v>16</v>
      </c>
      <c r="C56" s="10" t="s">
        <v>25</v>
      </c>
      <c r="D56" s="10" t="s">
        <v>242</v>
      </c>
      <c r="E56" s="10" t="s">
        <v>243</v>
      </c>
      <c r="F56" s="2" t="s">
        <v>133</v>
      </c>
    </row>
    <row r="57" spans="1:9" ht="58.05" customHeight="1" x14ac:dyDescent="0.45">
      <c r="A57" s="10" t="s">
        <v>45</v>
      </c>
      <c r="B57" s="2" t="s">
        <v>42</v>
      </c>
      <c r="C57" s="10" t="s">
        <v>244</v>
      </c>
      <c r="D57" s="10" t="s">
        <v>245</v>
      </c>
      <c r="E57" s="10" t="s">
        <v>246</v>
      </c>
      <c r="F57" s="2" t="s">
        <v>133</v>
      </c>
    </row>
    <row r="58" spans="1:9" ht="58.05" customHeight="1" x14ac:dyDescent="0.45">
      <c r="A58" s="10" t="s">
        <v>247</v>
      </c>
      <c r="B58" s="2" t="s">
        <v>50</v>
      </c>
      <c r="C58" s="10" t="s">
        <v>34</v>
      </c>
      <c r="D58" s="10" t="s">
        <v>248</v>
      </c>
      <c r="E58" s="10" t="s">
        <v>249</v>
      </c>
      <c r="F58" s="2" t="s">
        <v>133</v>
      </c>
    </row>
    <row r="59" spans="1:9" ht="58.05" customHeight="1" x14ac:dyDescent="0.45">
      <c r="A59" s="10" t="s">
        <v>37</v>
      </c>
      <c r="B59" s="2" t="s">
        <v>34</v>
      </c>
      <c r="C59" s="10" t="s">
        <v>78</v>
      </c>
      <c r="D59" s="10" t="s">
        <v>250</v>
      </c>
      <c r="E59" s="10" t="s">
        <v>251</v>
      </c>
      <c r="F59" s="2" t="s">
        <v>133</v>
      </c>
    </row>
    <row r="61" spans="1:9" ht="24" customHeight="1" x14ac:dyDescent="0.45">
      <c r="A61" s="29" t="s">
        <v>252</v>
      </c>
      <c r="B61" s="26"/>
      <c r="C61" s="26"/>
      <c r="D61" s="26"/>
      <c r="E61" s="26"/>
      <c r="F61" s="26"/>
      <c r="G61" s="26"/>
      <c r="H61" s="26"/>
      <c r="I61" s="26"/>
    </row>
    <row r="62" spans="1:9" x14ac:dyDescent="0.45">
      <c r="A62" s="1" t="s">
        <v>253</v>
      </c>
      <c r="B62" s="1" t="s">
        <v>254</v>
      </c>
      <c r="C62" s="1" t="s">
        <v>255</v>
      </c>
      <c r="D62" s="1" t="s">
        <v>256</v>
      </c>
      <c r="E62" s="1" t="s">
        <v>257</v>
      </c>
      <c r="F62" s="1" t="s">
        <v>258</v>
      </c>
      <c r="G62" s="1" t="s">
        <v>259</v>
      </c>
      <c r="H62" s="1" t="s">
        <v>260</v>
      </c>
      <c r="I62" s="1" t="s">
        <v>261</v>
      </c>
    </row>
    <row r="63" spans="1:9" ht="48" customHeight="1" x14ac:dyDescent="0.45">
      <c r="A63" s="10" t="s">
        <v>262</v>
      </c>
      <c r="B63" s="10">
        <v>45</v>
      </c>
      <c r="C63" s="10">
        <v>15</v>
      </c>
      <c r="D63" s="10">
        <v>15</v>
      </c>
      <c r="E63" s="10">
        <v>15</v>
      </c>
      <c r="F63" s="10">
        <v>10</v>
      </c>
      <c r="G63" s="10" t="s">
        <v>263</v>
      </c>
      <c r="H63" s="10" t="s">
        <v>263</v>
      </c>
      <c r="I63" s="10" t="s">
        <v>264</v>
      </c>
    </row>
    <row r="64" spans="1:9" ht="48" customHeight="1" x14ac:dyDescent="0.45">
      <c r="A64" s="10" t="s">
        <v>265</v>
      </c>
      <c r="B64" s="10">
        <v>55</v>
      </c>
      <c r="C64" s="10">
        <v>10</v>
      </c>
      <c r="D64" s="10">
        <v>10</v>
      </c>
      <c r="E64" s="10">
        <v>15</v>
      </c>
      <c r="F64" s="10">
        <v>10</v>
      </c>
      <c r="G64" s="10" t="s">
        <v>266</v>
      </c>
      <c r="H64" s="10" t="s">
        <v>263</v>
      </c>
      <c r="I64" s="10" t="s">
        <v>264</v>
      </c>
    </row>
    <row r="65" spans="1:9" ht="48" customHeight="1" x14ac:dyDescent="0.45">
      <c r="A65" s="10" t="s">
        <v>267</v>
      </c>
      <c r="B65" s="10">
        <v>30</v>
      </c>
      <c r="C65" s="10">
        <v>15</v>
      </c>
      <c r="D65" s="10">
        <v>30</v>
      </c>
      <c r="E65" s="10">
        <v>15</v>
      </c>
      <c r="F65" s="10">
        <v>10</v>
      </c>
      <c r="G65" s="10" t="s">
        <v>268</v>
      </c>
      <c r="H65" s="10" t="s">
        <v>263</v>
      </c>
      <c r="I65" s="10" t="s">
        <v>269</v>
      </c>
    </row>
    <row r="66" spans="1:9" ht="48" customHeight="1" x14ac:dyDescent="0.45">
      <c r="A66" s="10" t="s">
        <v>270</v>
      </c>
      <c r="B66" s="10">
        <v>30</v>
      </c>
      <c r="C66" s="10">
        <v>15</v>
      </c>
      <c r="D66" s="10">
        <v>15</v>
      </c>
      <c r="E66" s="10">
        <v>30</v>
      </c>
      <c r="F66" s="10">
        <v>10</v>
      </c>
      <c r="G66" s="10" t="s">
        <v>271</v>
      </c>
      <c r="H66" s="10" t="s">
        <v>263</v>
      </c>
      <c r="I66" s="10" t="s">
        <v>269</v>
      </c>
    </row>
    <row r="67" spans="1:9" ht="48" customHeight="1" x14ac:dyDescent="0.45">
      <c r="A67" s="10" t="s">
        <v>272</v>
      </c>
      <c r="B67" s="10">
        <v>30</v>
      </c>
      <c r="C67" s="10">
        <v>15</v>
      </c>
      <c r="D67" s="10">
        <v>15</v>
      </c>
      <c r="E67" s="10">
        <v>15</v>
      </c>
      <c r="F67" s="10">
        <v>25</v>
      </c>
      <c r="G67" s="10" t="s">
        <v>271</v>
      </c>
      <c r="H67" s="10" t="s">
        <v>263</v>
      </c>
      <c r="I67" s="10" t="s">
        <v>269</v>
      </c>
    </row>
    <row r="68" spans="1:9" ht="48" customHeight="1" x14ac:dyDescent="0.45">
      <c r="A68" s="10" t="s">
        <v>273</v>
      </c>
      <c r="B68" s="10">
        <v>30</v>
      </c>
      <c r="C68" s="10">
        <v>20</v>
      </c>
      <c r="D68" s="10">
        <v>20</v>
      </c>
      <c r="E68" s="10">
        <v>20</v>
      </c>
      <c r="F68" s="10">
        <v>10</v>
      </c>
      <c r="G68" s="10" t="s">
        <v>271</v>
      </c>
      <c r="H68" s="10" t="s">
        <v>263</v>
      </c>
      <c r="I68" s="10" t="s">
        <v>269</v>
      </c>
    </row>
    <row r="70" spans="1:9" ht="34.049999999999997" customHeight="1" x14ac:dyDescent="0.45">
      <c r="A70" s="32" t="s">
        <v>274</v>
      </c>
      <c r="B70" s="26"/>
      <c r="C70" s="26"/>
      <c r="D70" s="26"/>
      <c r="E70" s="26"/>
      <c r="F70" s="26"/>
      <c r="G70" s="26"/>
      <c r="H70" s="26"/>
      <c r="I70" s="26"/>
    </row>
    <row r="72" spans="1:9" ht="24" customHeight="1" x14ac:dyDescent="0.45">
      <c r="A72" s="29" t="s">
        <v>275</v>
      </c>
      <c r="B72" s="26"/>
      <c r="C72" s="26"/>
      <c r="D72" s="26"/>
      <c r="E72" s="26"/>
      <c r="F72" s="26"/>
      <c r="G72" s="26"/>
      <c r="H72" s="26"/>
    </row>
    <row r="73" spans="1:9" x14ac:dyDescent="0.45">
      <c r="A73" s="1" t="s">
        <v>6</v>
      </c>
      <c r="B73" s="1" t="s">
        <v>7</v>
      </c>
      <c r="C73" s="1" t="s">
        <v>164</v>
      </c>
      <c r="D73" s="1" t="s">
        <v>165</v>
      </c>
      <c r="E73" s="1" t="s">
        <v>276</v>
      </c>
      <c r="F73" s="1" t="s">
        <v>277</v>
      </c>
      <c r="G73" s="1" t="s">
        <v>278</v>
      </c>
      <c r="H73" s="1" t="s">
        <v>70</v>
      </c>
    </row>
    <row r="74" spans="1:9" ht="58.05" customHeight="1" x14ac:dyDescent="0.45">
      <c r="A74" s="10" t="s">
        <v>16</v>
      </c>
      <c r="B74" s="10" t="s">
        <v>17</v>
      </c>
      <c r="C74" s="10" t="s">
        <v>173</v>
      </c>
      <c r="D74" s="10">
        <v>45</v>
      </c>
      <c r="E74" s="10">
        <v>4</v>
      </c>
      <c r="F74" s="10">
        <f t="shared" ref="F74:F105" si="1">ROUND(E74/5*D74,0)</f>
        <v>36</v>
      </c>
      <c r="G74" s="10" t="s">
        <v>279</v>
      </c>
      <c r="H74" s="10" t="s">
        <v>72</v>
      </c>
    </row>
    <row r="75" spans="1:9" ht="58.05" customHeight="1" x14ac:dyDescent="0.45">
      <c r="A75" s="10" t="s">
        <v>16</v>
      </c>
      <c r="B75" s="10" t="s">
        <v>17</v>
      </c>
      <c r="C75" s="10" t="s">
        <v>181</v>
      </c>
      <c r="D75" s="10">
        <v>15</v>
      </c>
      <c r="E75" s="10">
        <v>3</v>
      </c>
      <c r="F75" s="10">
        <f t="shared" si="1"/>
        <v>9</v>
      </c>
      <c r="G75" s="10" t="s">
        <v>280</v>
      </c>
      <c r="H75" s="10" t="s">
        <v>72</v>
      </c>
    </row>
    <row r="76" spans="1:9" ht="58.05" customHeight="1" x14ac:dyDescent="0.45">
      <c r="A76" s="10" t="s">
        <v>16</v>
      </c>
      <c r="B76" s="10" t="s">
        <v>17</v>
      </c>
      <c r="C76" s="10" t="s">
        <v>189</v>
      </c>
      <c r="D76" s="10">
        <v>15</v>
      </c>
      <c r="E76" s="10">
        <v>4</v>
      </c>
      <c r="F76" s="10">
        <f t="shared" si="1"/>
        <v>12</v>
      </c>
      <c r="G76" s="10" t="s">
        <v>281</v>
      </c>
      <c r="H76" s="10" t="s">
        <v>72</v>
      </c>
    </row>
    <row r="77" spans="1:9" ht="58.05" customHeight="1" x14ac:dyDescent="0.45">
      <c r="A77" s="10" t="s">
        <v>16</v>
      </c>
      <c r="B77" s="10" t="s">
        <v>17</v>
      </c>
      <c r="C77" s="10" t="s">
        <v>197</v>
      </c>
      <c r="D77" s="10">
        <v>15</v>
      </c>
      <c r="E77" s="10">
        <v>5</v>
      </c>
      <c r="F77" s="10">
        <f t="shared" si="1"/>
        <v>15</v>
      </c>
      <c r="G77" s="10" t="s">
        <v>282</v>
      </c>
      <c r="H77" s="10" t="s">
        <v>72</v>
      </c>
    </row>
    <row r="78" spans="1:9" ht="58.05" customHeight="1" x14ac:dyDescent="0.45">
      <c r="A78" s="10" t="s">
        <v>16</v>
      </c>
      <c r="B78" s="10" t="s">
        <v>17</v>
      </c>
      <c r="C78" s="10" t="s">
        <v>205</v>
      </c>
      <c r="D78" s="10">
        <v>10</v>
      </c>
      <c r="E78" s="10">
        <v>4</v>
      </c>
      <c r="F78" s="10">
        <f t="shared" si="1"/>
        <v>8</v>
      </c>
      <c r="G78" s="10" t="s">
        <v>283</v>
      </c>
      <c r="H78" s="10" t="s">
        <v>72</v>
      </c>
    </row>
    <row r="79" spans="1:9" ht="58.05" customHeight="1" x14ac:dyDescent="0.45">
      <c r="A79" s="10" t="s">
        <v>25</v>
      </c>
      <c r="B79" s="10" t="s">
        <v>26</v>
      </c>
      <c r="C79" s="10" t="s">
        <v>173</v>
      </c>
      <c r="D79" s="10">
        <v>45</v>
      </c>
      <c r="E79" s="10">
        <v>4</v>
      </c>
      <c r="F79" s="10">
        <f t="shared" si="1"/>
        <v>36</v>
      </c>
      <c r="G79" s="10" t="s">
        <v>284</v>
      </c>
      <c r="H79" s="10" t="s">
        <v>73</v>
      </c>
    </row>
    <row r="80" spans="1:9" ht="58.05" customHeight="1" x14ac:dyDescent="0.45">
      <c r="A80" s="10" t="s">
        <v>25</v>
      </c>
      <c r="B80" s="10" t="s">
        <v>26</v>
      </c>
      <c r="C80" s="10" t="s">
        <v>181</v>
      </c>
      <c r="D80" s="10">
        <v>15</v>
      </c>
      <c r="E80" s="10">
        <v>4</v>
      </c>
      <c r="F80" s="10">
        <f t="shared" si="1"/>
        <v>12</v>
      </c>
      <c r="G80" s="10" t="s">
        <v>285</v>
      </c>
      <c r="H80" s="10" t="s">
        <v>73</v>
      </c>
    </row>
    <row r="81" spans="1:8" ht="58.05" customHeight="1" x14ac:dyDescent="0.45">
      <c r="A81" s="10" t="s">
        <v>25</v>
      </c>
      <c r="B81" s="10" t="s">
        <v>26</v>
      </c>
      <c r="C81" s="10" t="s">
        <v>189</v>
      </c>
      <c r="D81" s="10">
        <v>15</v>
      </c>
      <c r="E81" s="10">
        <v>2</v>
      </c>
      <c r="F81" s="10">
        <f t="shared" si="1"/>
        <v>6</v>
      </c>
      <c r="G81" s="10" t="s">
        <v>286</v>
      </c>
      <c r="H81" s="10" t="s">
        <v>73</v>
      </c>
    </row>
    <row r="82" spans="1:8" ht="58.05" customHeight="1" x14ac:dyDescent="0.45">
      <c r="A82" s="10" t="s">
        <v>25</v>
      </c>
      <c r="B82" s="10" t="s">
        <v>26</v>
      </c>
      <c r="C82" s="10" t="s">
        <v>197</v>
      </c>
      <c r="D82" s="10">
        <v>15</v>
      </c>
      <c r="E82" s="10">
        <v>4</v>
      </c>
      <c r="F82" s="10">
        <f t="shared" si="1"/>
        <v>12</v>
      </c>
      <c r="G82" s="10" t="s">
        <v>287</v>
      </c>
      <c r="H82" s="10" t="s">
        <v>73</v>
      </c>
    </row>
    <row r="83" spans="1:8" ht="58.05" customHeight="1" x14ac:dyDescent="0.45">
      <c r="A83" s="10" t="s">
        <v>25</v>
      </c>
      <c r="B83" s="10" t="s">
        <v>26</v>
      </c>
      <c r="C83" s="10" t="s">
        <v>205</v>
      </c>
      <c r="D83" s="10">
        <v>10</v>
      </c>
      <c r="E83" s="10">
        <v>4</v>
      </c>
      <c r="F83" s="10">
        <f t="shared" si="1"/>
        <v>8</v>
      </c>
      <c r="G83" s="10" t="s">
        <v>288</v>
      </c>
      <c r="H83" s="10" t="s">
        <v>73</v>
      </c>
    </row>
    <row r="84" spans="1:8" ht="58.05" customHeight="1" x14ac:dyDescent="0.45">
      <c r="A84" s="10" t="s">
        <v>34</v>
      </c>
      <c r="B84" s="10" t="s">
        <v>35</v>
      </c>
      <c r="C84" s="10" t="s">
        <v>173</v>
      </c>
      <c r="D84" s="10">
        <v>45</v>
      </c>
      <c r="E84" s="10">
        <v>3</v>
      </c>
      <c r="F84" s="10">
        <f t="shared" si="1"/>
        <v>27</v>
      </c>
      <c r="G84" s="10" t="s">
        <v>289</v>
      </c>
      <c r="H84" s="10" t="s">
        <v>74</v>
      </c>
    </row>
    <row r="85" spans="1:8" ht="58.05" customHeight="1" x14ac:dyDescent="0.45">
      <c r="A85" s="10" t="s">
        <v>34</v>
      </c>
      <c r="B85" s="10" t="s">
        <v>35</v>
      </c>
      <c r="C85" s="10" t="s">
        <v>181</v>
      </c>
      <c r="D85" s="10">
        <v>15</v>
      </c>
      <c r="E85" s="10">
        <v>4</v>
      </c>
      <c r="F85" s="10">
        <f t="shared" si="1"/>
        <v>12</v>
      </c>
      <c r="G85" s="10" t="s">
        <v>290</v>
      </c>
      <c r="H85" s="10" t="s">
        <v>74</v>
      </c>
    </row>
    <row r="86" spans="1:8" ht="58.05" customHeight="1" x14ac:dyDescent="0.45">
      <c r="A86" s="10" t="s">
        <v>34</v>
      </c>
      <c r="B86" s="10" t="s">
        <v>35</v>
      </c>
      <c r="C86" s="10" t="s">
        <v>189</v>
      </c>
      <c r="D86" s="10">
        <v>15</v>
      </c>
      <c r="E86" s="10">
        <v>4</v>
      </c>
      <c r="F86" s="10">
        <f t="shared" si="1"/>
        <v>12</v>
      </c>
      <c r="G86" s="10" t="s">
        <v>291</v>
      </c>
      <c r="H86" s="10" t="s">
        <v>74</v>
      </c>
    </row>
    <row r="87" spans="1:8" ht="58.05" customHeight="1" x14ac:dyDescent="0.45">
      <c r="A87" s="10" t="s">
        <v>34</v>
      </c>
      <c r="B87" s="10" t="s">
        <v>35</v>
      </c>
      <c r="C87" s="10" t="s">
        <v>197</v>
      </c>
      <c r="D87" s="10">
        <v>15</v>
      </c>
      <c r="E87" s="10">
        <v>5</v>
      </c>
      <c r="F87" s="10">
        <f t="shared" si="1"/>
        <v>15</v>
      </c>
      <c r="G87" s="10" t="s">
        <v>292</v>
      </c>
      <c r="H87" s="10" t="s">
        <v>74</v>
      </c>
    </row>
    <row r="88" spans="1:8" ht="58.05" customHeight="1" x14ac:dyDescent="0.45">
      <c r="A88" s="10" t="s">
        <v>34</v>
      </c>
      <c r="B88" s="10" t="s">
        <v>35</v>
      </c>
      <c r="C88" s="10" t="s">
        <v>205</v>
      </c>
      <c r="D88" s="10">
        <v>10</v>
      </c>
      <c r="E88" s="10">
        <v>4</v>
      </c>
      <c r="F88" s="10">
        <f t="shared" si="1"/>
        <v>8</v>
      </c>
      <c r="G88" s="10" t="s">
        <v>293</v>
      </c>
      <c r="H88" s="10" t="s">
        <v>74</v>
      </c>
    </row>
    <row r="89" spans="1:8" ht="58.05" customHeight="1" x14ac:dyDescent="0.45">
      <c r="A89" s="10" t="s">
        <v>42</v>
      </c>
      <c r="B89" s="10" t="s">
        <v>43</v>
      </c>
      <c r="C89" s="10" t="s">
        <v>173</v>
      </c>
      <c r="D89" s="10">
        <v>45</v>
      </c>
      <c r="E89" s="10">
        <v>5</v>
      </c>
      <c r="F89" s="10">
        <f t="shared" si="1"/>
        <v>45</v>
      </c>
      <c r="G89" s="10" t="s">
        <v>294</v>
      </c>
      <c r="H89" s="10" t="s">
        <v>75</v>
      </c>
    </row>
    <row r="90" spans="1:8" ht="58.05" customHeight="1" x14ac:dyDescent="0.45">
      <c r="A90" s="10" t="s">
        <v>42</v>
      </c>
      <c r="B90" s="10" t="s">
        <v>43</v>
      </c>
      <c r="C90" s="10" t="s">
        <v>181</v>
      </c>
      <c r="D90" s="10">
        <v>15</v>
      </c>
      <c r="E90" s="10">
        <v>2</v>
      </c>
      <c r="F90" s="10">
        <f t="shared" si="1"/>
        <v>6</v>
      </c>
      <c r="G90" s="10" t="s">
        <v>295</v>
      </c>
      <c r="H90" s="10" t="s">
        <v>75</v>
      </c>
    </row>
    <row r="91" spans="1:8" ht="58.05" customHeight="1" x14ac:dyDescent="0.45">
      <c r="A91" s="10" t="s">
        <v>42</v>
      </c>
      <c r="B91" s="10" t="s">
        <v>43</v>
      </c>
      <c r="C91" s="10" t="s">
        <v>189</v>
      </c>
      <c r="D91" s="10">
        <v>15</v>
      </c>
      <c r="E91" s="10">
        <v>1</v>
      </c>
      <c r="F91" s="10">
        <f t="shared" si="1"/>
        <v>3</v>
      </c>
      <c r="G91" s="10" t="s">
        <v>296</v>
      </c>
      <c r="H91" s="10" t="s">
        <v>75</v>
      </c>
    </row>
    <row r="92" spans="1:8" ht="58.05" customHeight="1" x14ac:dyDescent="0.45">
      <c r="A92" s="10" t="s">
        <v>42</v>
      </c>
      <c r="B92" s="10" t="s">
        <v>43</v>
      </c>
      <c r="C92" s="10" t="s">
        <v>197</v>
      </c>
      <c r="D92" s="10">
        <v>15</v>
      </c>
      <c r="E92" s="10">
        <v>2</v>
      </c>
      <c r="F92" s="10">
        <f t="shared" si="1"/>
        <v>6</v>
      </c>
      <c r="G92" s="10" t="s">
        <v>297</v>
      </c>
      <c r="H92" s="10" t="s">
        <v>75</v>
      </c>
    </row>
    <row r="93" spans="1:8" ht="58.05" customHeight="1" x14ac:dyDescent="0.45">
      <c r="A93" s="10" t="s">
        <v>42</v>
      </c>
      <c r="B93" s="10" t="s">
        <v>43</v>
      </c>
      <c r="C93" s="10" t="s">
        <v>205</v>
      </c>
      <c r="D93" s="10">
        <v>10</v>
      </c>
      <c r="E93" s="10">
        <v>4</v>
      </c>
      <c r="F93" s="10">
        <f t="shared" si="1"/>
        <v>8</v>
      </c>
      <c r="G93" s="10" t="s">
        <v>298</v>
      </c>
      <c r="H93" s="10" t="s">
        <v>75</v>
      </c>
    </row>
    <row r="94" spans="1:8" ht="58.05" customHeight="1" x14ac:dyDescent="0.45">
      <c r="A94" s="10" t="s">
        <v>50</v>
      </c>
      <c r="B94" s="10" t="s">
        <v>51</v>
      </c>
      <c r="C94" s="10" t="s">
        <v>173</v>
      </c>
      <c r="D94" s="10">
        <v>45</v>
      </c>
      <c r="E94" s="10">
        <v>3</v>
      </c>
      <c r="F94" s="10">
        <f t="shared" si="1"/>
        <v>27</v>
      </c>
      <c r="G94" s="10" t="s">
        <v>299</v>
      </c>
      <c r="H94" s="10" t="s">
        <v>76</v>
      </c>
    </row>
    <row r="95" spans="1:8" ht="58.05" customHeight="1" x14ac:dyDescent="0.45">
      <c r="A95" s="10" t="s">
        <v>50</v>
      </c>
      <c r="B95" s="10" t="s">
        <v>51</v>
      </c>
      <c r="C95" s="10" t="s">
        <v>181</v>
      </c>
      <c r="D95" s="10">
        <v>15</v>
      </c>
      <c r="E95" s="10">
        <v>4</v>
      </c>
      <c r="F95" s="10">
        <f t="shared" si="1"/>
        <v>12</v>
      </c>
      <c r="G95" s="10" t="s">
        <v>300</v>
      </c>
      <c r="H95" s="10" t="s">
        <v>76</v>
      </c>
    </row>
    <row r="96" spans="1:8" ht="58.05" customHeight="1" x14ac:dyDescent="0.45">
      <c r="A96" s="10" t="s">
        <v>50</v>
      </c>
      <c r="B96" s="10" t="s">
        <v>51</v>
      </c>
      <c r="C96" s="10" t="s">
        <v>189</v>
      </c>
      <c r="D96" s="10">
        <v>15</v>
      </c>
      <c r="E96" s="10">
        <v>2</v>
      </c>
      <c r="F96" s="10">
        <f t="shared" si="1"/>
        <v>6</v>
      </c>
      <c r="G96" s="10" t="s">
        <v>301</v>
      </c>
      <c r="H96" s="10" t="s">
        <v>76</v>
      </c>
    </row>
    <row r="97" spans="1:8" ht="58.05" customHeight="1" x14ac:dyDescent="0.45">
      <c r="A97" s="10" t="s">
        <v>50</v>
      </c>
      <c r="B97" s="10" t="s">
        <v>51</v>
      </c>
      <c r="C97" s="10" t="s">
        <v>197</v>
      </c>
      <c r="D97" s="10">
        <v>15</v>
      </c>
      <c r="E97" s="10">
        <v>5</v>
      </c>
      <c r="F97" s="10">
        <f t="shared" si="1"/>
        <v>15</v>
      </c>
      <c r="G97" s="10" t="s">
        <v>302</v>
      </c>
      <c r="H97" s="10" t="s">
        <v>76</v>
      </c>
    </row>
    <row r="98" spans="1:8" ht="58.05" customHeight="1" x14ac:dyDescent="0.45">
      <c r="A98" s="10" t="s">
        <v>50</v>
      </c>
      <c r="B98" s="10" t="s">
        <v>51</v>
      </c>
      <c r="C98" s="10" t="s">
        <v>205</v>
      </c>
      <c r="D98" s="10">
        <v>10</v>
      </c>
      <c r="E98" s="10">
        <v>4</v>
      </c>
      <c r="F98" s="10">
        <f t="shared" si="1"/>
        <v>8</v>
      </c>
      <c r="G98" s="10" t="s">
        <v>303</v>
      </c>
      <c r="H98" s="10" t="s">
        <v>76</v>
      </c>
    </row>
    <row r="99" spans="1:8" ht="58.05" customHeight="1" x14ac:dyDescent="0.45">
      <c r="A99" s="10" t="s">
        <v>78</v>
      </c>
      <c r="B99" s="10" t="s">
        <v>79</v>
      </c>
      <c r="C99" s="10" t="s">
        <v>173</v>
      </c>
      <c r="D99" s="10">
        <v>45</v>
      </c>
      <c r="E99" s="10">
        <v>2</v>
      </c>
      <c r="F99" s="10">
        <f t="shared" si="1"/>
        <v>18</v>
      </c>
      <c r="G99" s="10" t="s">
        <v>304</v>
      </c>
      <c r="H99" s="10" t="s">
        <v>86</v>
      </c>
    </row>
    <row r="100" spans="1:8" ht="58.05" customHeight="1" x14ac:dyDescent="0.45">
      <c r="A100" s="10" t="s">
        <v>78</v>
      </c>
      <c r="B100" s="10" t="s">
        <v>79</v>
      </c>
      <c r="C100" s="10" t="s">
        <v>181</v>
      </c>
      <c r="D100" s="10">
        <v>15</v>
      </c>
      <c r="E100" s="10">
        <v>4</v>
      </c>
      <c r="F100" s="10">
        <f t="shared" si="1"/>
        <v>12</v>
      </c>
      <c r="G100" s="10" t="s">
        <v>305</v>
      </c>
      <c r="H100" s="10" t="s">
        <v>86</v>
      </c>
    </row>
    <row r="101" spans="1:8" ht="58.05" customHeight="1" x14ac:dyDescent="0.45">
      <c r="A101" s="10" t="s">
        <v>78</v>
      </c>
      <c r="B101" s="10" t="s">
        <v>79</v>
      </c>
      <c r="C101" s="10" t="s">
        <v>189</v>
      </c>
      <c r="D101" s="10">
        <v>15</v>
      </c>
      <c r="E101" s="10">
        <v>5</v>
      </c>
      <c r="F101" s="10">
        <f t="shared" si="1"/>
        <v>15</v>
      </c>
      <c r="G101" s="10" t="s">
        <v>306</v>
      </c>
      <c r="H101" s="10" t="s">
        <v>86</v>
      </c>
    </row>
    <row r="102" spans="1:8" ht="58.05" customHeight="1" x14ac:dyDescent="0.45">
      <c r="A102" s="10" t="s">
        <v>78</v>
      </c>
      <c r="B102" s="10" t="s">
        <v>79</v>
      </c>
      <c r="C102" s="10" t="s">
        <v>197</v>
      </c>
      <c r="D102" s="10">
        <v>15</v>
      </c>
      <c r="E102" s="10">
        <v>4</v>
      </c>
      <c r="F102" s="10">
        <f t="shared" si="1"/>
        <v>12</v>
      </c>
      <c r="G102" s="10" t="s">
        <v>307</v>
      </c>
      <c r="H102" s="10" t="s">
        <v>86</v>
      </c>
    </row>
    <row r="103" spans="1:8" ht="58.05" customHeight="1" x14ac:dyDescent="0.45">
      <c r="A103" s="10" t="s">
        <v>78</v>
      </c>
      <c r="B103" s="10" t="s">
        <v>79</v>
      </c>
      <c r="C103" s="10" t="s">
        <v>205</v>
      </c>
      <c r="D103" s="10">
        <v>10</v>
      </c>
      <c r="E103" s="10">
        <v>3</v>
      </c>
      <c r="F103" s="10">
        <f t="shared" si="1"/>
        <v>6</v>
      </c>
      <c r="G103" s="10" t="s">
        <v>308</v>
      </c>
      <c r="H103" s="10" t="s">
        <v>86</v>
      </c>
    </row>
    <row r="104" spans="1:8" ht="58.05" customHeight="1" x14ac:dyDescent="0.45">
      <c r="A104" s="10" t="s">
        <v>88</v>
      </c>
      <c r="B104" s="10" t="s">
        <v>89</v>
      </c>
      <c r="C104" s="10" t="s">
        <v>173</v>
      </c>
      <c r="D104" s="10">
        <v>45</v>
      </c>
      <c r="E104" s="10">
        <v>2</v>
      </c>
      <c r="F104" s="10">
        <f t="shared" si="1"/>
        <v>18</v>
      </c>
      <c r="G104" s="10" t="s">
        <v>309</v>
      </c>
      <c r="H104" s="10" t="s">
        <v>95</v>
      </c>
    </row>
    <row r="105" spans="1:8" ht="58.05" customHeight="1" x14ac:dyDescent="0.45">
      <c r="A105" s="10" t="s">
        <v>88</v>
      </c>
      <c r="B105" s="10" t="s">
        <v>89</v>
      </c>
      <c r="C105" s="10" t="s">
        <v>181</v>
      </c>
      <c r="D105" s="10">
        <v>15</v>
      </c>
      <c r="E105" s="10">
        <v>4</v>
      </c>
      <c r="F105" s="10">
        <f t="shared" si="1"/>
        <v>12</v>
      </c>
      <c r="G105" s="10" t="s">
        <v>310</v>
      </c>
      <c r="H105" s="10" t="s">
        <v>95</v>
      </c>
    </row>
    <row r="106" spans="1:8" ht="58.05" customHeight="1" x14ac:dyDescent="0.45">
      <c r="A106" s="10" t="s">
        <v>88</v>
      </c>
      <c r="B106" s="10" t="s">
        <v>89</v>
      </c>
      <c r="C106" s="10" t="s">
        <v>189</v>
      </c>
      <c r="D106" s="10">
        <v>15</v>
      </c>
      <c r="E106" s="10">
        <v>4</v>
      </c>
      <c r="F106" s="10">
        <f t="shared" ref="F106:F137" si="2">ROUND(E106/5*D106,0)</f>
        <v>12</v>
      </c>
      <c r="G106" s="10" t="s">
        <v>311</v>
      </c>
      <c r="H106" s="10" t="s">
        <v>95</v>
      </c>
    </row>
    <row r="107" spans="1:8" ht="58.05" customHeight="1" x14ac:dyDescent="0.45">
      <c r="A107" s="10" t="s">
        <v>88</v>
      </c>
      <c r="B107" s="10" t="s">
        <v>89</v>
      </c>
      <c r="C107" s="10" t="s">
        <v>197</v>
      </c>
      <c r="D107" s="10">
        <v>15</v>
      </c>
      <c r="E107" s="10">
        <v>4</v>
      </c>
      <c r="F107" s="10">
        <f t="shared" si="2"/>
        <v>12</v>
      </c>
      <c r="G107" s="10" t="s">
        <v>312</v>
      </c>
      <c r="H107" s="10" t="s">
        <v>95</v>
      </c>
    </row>
    <row r="108" spans="1:8" ht="58.05" customHeight="1" x14ac:dyDescent="0.45">
      <c r="A108" s="10" t="s">
        <v>88</v>
      </c>
      <c r="B108" s="10" t="s">
        <v>89</v>
      </c>
      <c r="C108" s="10" t="s">
        <v>205</v>
      </c>
      <c r="D108" s="10">
        <v>10</v>
      </c>
      <c r="E108" s="10">
        <v>3</v>
      </c>
      <c r="F108" s="10">
        <f t="shared" si="2"/>
        <v>6</v>
      </c>
      <c r="G108" s="10" t="s">
        <v>313</v>
      </c>
      <c r="H108" s="10" t="s">
        <v>95</v>
      </c>
    </row>
    <row r="109" spans="1:8" ht="58.05" customHeight="1" x14ac:dyDescent="0.45">
      <c r="A109" s="10" t="s">
        <v>96</v>
      </c>
      <c r="B109" s="10" t="s">
        <v>97</v>
      </c>
      <c r="C109" s="10" t="s">
        <v>173</v>
      </c>
      <c r="D109" s="10">
        <v>45</v>
      </c>
      <c r="E109" s="10">
        <v>2</v>
      </c>
      <c r="F109" s="10">
        <f t="shared" si="2"/>
        <v>18</v>
      </c>
      <c r="G109" s="10" t="s">
        <v>314</v>
      </c>
      <c r="H109" s="10" t="s">
        <v>103</v>
      </c>
    </row>
    <row r="110" spans="1:8" ht="58.05" customHeight="1" x14ac:dyDescent="0.45">
      <c r="A110" s="10" t="s">
        <v>96</v>
      </c>
      <c r="B110" s="10" t="s">
        <v>97</v>
      </c>
      <c r="C110" s="10" t="s">
        <v>181</v>
      </c>
      <c r="D110" s="10">
        <v>15</v>
      </c>
      <c r="E110" s="10">
        <v>3</v>
      </c>
      <c r="F110" s="10">
        <f t="shared" si="2"/>
        <v>9</v>
      </c>
      <c r="G110" s="10" t="s">
        <v>315</v>
      </c>
      <c r="H110" s="10" t="s">
        <v>103</v>
      </c>
    </row>
    <row r="111" spans="1:8" ht="58.05" customHeight="1" x14ac:dyDescent="0.45">
      <c r="A111" s="10" t="s">
        <v>96</v>
      </c>
      <c r="B111" s="10" t="s">
        <v>97</v>
      </c>
      <c r="C111" s="10" t="s">
        <v>189</v>
      </c>
      <c r="D111" s="10">
        <v>15</v>
      </c>
      <c r="E111" s="10">
        <v>3</v>
      </c>
      <c r="F111" s="10">
        <f t="shared" si="2"/>
        <v>9</v>
      </c>
      <c r="G111" s="10" t="s">
        <v>316</v>
      </c>
      <c r="H111" s="10" t="s">
        <v>103</v>
      </c>
    </row>
    <row r="112" spans="1:8" ht="58.05" customHeight="1" x14ac:dyDescent="0.45">
      <c r="A112" s="10" t="s">
        <v>96</v>
      </c>
      <c r="B112" s="10" t="s">
        <v>97</v>
      </c>
      <c r="C112" s="10" t="s">
        <v>197</v>
      </c>
      <c r="D112" s="10">
        <v>15</v>
      </c>
      <c r="E112" s="10">
        <v>4</v>
      </c>
      <c r="F112" s="10">
        <f t="shared" si="2"/>
        <v>12</v>
      </c>
      <c r="G112" s="10" t="s">
        <v>317</v>
      </c>
      <c r="H112" s="10" t="s">
        <v>103</v>
      </c>
    </row>
    <row r="113" spans="1:8" ht="58.05" customHeight="1" x14ac:dyDescent="0.45">
      <c r="A113" s="10" t="s">
        <v>96</v>
      </c>
      <c r="B113" s="10" t="s">
        <v>97</v>
      </c>
      <c r="C113" s="10" t="s">
        <v>205</v>
      </c>
      <c r="D113" s="10">
        <v>10</v>
      </c>
      <c r="E113" s="10">
        <v>2</v>
      </c>
      <c r="F113" s="10">
        <f t="shared" si="2"/>
        <v>4</v>
      </c>
      <c r="G113" s="10" t="s">
        <v>318</v>
      </c>
      <c r="H113" s="10" t="s">
        <v>103</v>
      </c>
    </row>
    <row r="114" spans="1:8" ht="58.05" customHeight="1" x14ac:dyDescent="0.45">
      <c r="A114" s="10" t="s">
        <v>104</v>
      </c>
      <c r="B114" s="10" t="s">
        <v>105</v>
      </c>
      <c r="C114" s="10" t="s">
        <v>173</v>
      </c>
      <c r="D114" s="10">
        <v>45</v>
      </c>
      <c r="E114" s="10">
        <v>1</v>
      </c>
      <c r="F114" s="10">
        <f t="shared" si="2"/>
        <v>9</v>
      </c>
      <c r="G114" s="10" t="s">
        <v>319</v>
      </c>
      <c r="H114" s="10" t="s">
        <v>112</v>
      </c>
    </row>
    <row r="115" spans="1:8" ht="58.05" customHeight="1" x14ac:dyDescent="0.45">
      <c r="A115" s="10" t="s">
        <v>104</v>
      </c>
      <c r="B115" s="10" t="s">
        <v>105</v>
      </c>
      <c r="C115" s="10" t="s">
        <v>181</v>
      </c>
      <c r="D115" s="10">
        <v>15</v>
      </c>
      <c r="E115" s="10">
        <v>3</v>
      </c>
      <c r="F115" s="10">
        <f t="shared" si="2"/>
        <v>9</v>
      </c>
      <c r="G115" s="10" t="s">
        <v>320</v>
      </c>
      <c r="H115" s="10" t="s">
        <v>112</v>
      </c>
    </row>
    <row r="116" spans="1:8" ht="58.05" customHeight="1" x14ac:dyDescent="0.45">
      <c r="A116" s="10" t="s">
        <v>104</v>
      </c>
      <c r="B116" s="10" t="s">
        <v>105</v>
      </c>
      <c r="C116" s="10" t="s">
        <v>189</v>
      </c>
      <c r="D116" s="10">
        <v>15</v>
      </c>
      <c r="E116" s="10">
        <v>3</v>
      </c>
      <c r="F116" s="10">
        <f t="shared" si="2"/>
        <v>9</v>
      </c>
      <c r="G116" s="10" t="s">
        <v>321</v>
      </c>
      <c r="H116" s="10" t="s">
        <v>112</v>
      </c>
    </row>
    <row r="117" spans="1:8" ht="58.05" customHeight="1" x14ac:dyDescent="0.45">
      <c r="A117" s="10" t="s">
        <v>104</v>
      </c>
      <c r="B117" s="10" t="s">
        <v>105</v>
      </c>
      <c r="C117" s="10" t="s">
        <v>197</v>
      </c>
      <c r="D117" s="10">
        <v>15</v>
      </c>
      <c r="E117" s="10">
        <v>2</v>
      </c>
      <c r="F117" s="10">
        <f t="shared" si="2"/>
        <v>6</v>
      </c>
      <c r="G117" s="10" t="s">
        <v>322</v>
      </c>
      <c r="H117" s="10" t="s">
        <v>112</v>
      </c>
    </row>
    <row r="118" spans="1:8" ht="58.05" customHeight="1" x14ac:dyDescent="0.45">
      <c r="A118" s="10" t="s">
        <v>104</v>
      </c>
      <c r="B118" s="10" t="s">
        <v>105</v>
      </c>
      <c r="C118" s="10" t="s">
        <v>205</v>
      </c>
      <c r="D118" s="10">
        <v>10</v>
      </c>
      <c r="E118" s="10">
        <v>3</v>
      </c>
      <c r="F118" s="10">
        <f t="shared" si="2"/>
        <v>6</v>
      </c>
      <c r="G118" s="10" t="s">
        <v>323</v>
      </c>
      <c r="H118" s="10" t="s">
        <v>112</v>
      </c>
    </row>
    <row r="119" spans="1:8" ht="58.05" customHeight="1" x14ac:dyDescent="0.45">
      <c r="A119" s="10" t="s">
        <v>113</v>
      </c>
      <c r="B119" s="10" t="s">
        <v>114</v>
      </c>
      <c r="C119" s="10" t="s">
        <v>173</v>
      </c>
      <c r="D119" s="10">
        <v>45</v>
      </c>
      <c r="E119" s="10">
        <v>1</v>
      </c>
      <c r="F119" s="10">
        <f t="shared" si="2"/>
        <v>9</v>
      </c>
      <c r="G119" s="10" t="s">
        <v>324</v>
      </c>
      <c r="H119" s="10" t="s">
        <v>120</v>
      </c>
    </row>
    <row r="120" spans="1:8" ht="58.05" customHeight="1" x14ac:dyDescent="0.45">
      <c r="A120" s="10" t="s">
        <v>113</v>
      </c>
      <c r="B120" s="10" t="s">
        <v>114</v>
      </c>
      <c r="C120" s="10" t="s">
        <v>181</v>
      </c>
      <c r="D120" s="10">
        <v>15</v>
      </c>
      <c r="E120" s="10">
        <v>2</v>
      </c>
      <c r="F120" s="10">
        <f t="shared" si="2"/>
        <v>6</v>
      </c>
      <c r="G120" s="10" t="s">
        <v>325</v>
      </c>
      <c r="H120" s="10" t="s">
        <v>120</v>
      </c>
    </row>
    <row r="121" spans="1:8" ht="58.05" customHeight="1" x14ac:dyDescent="0.45">
      <c r="A121" s="10" t="s">
        <v>113</v>
      </c>
      <c r="B121" s="10" t="s">
        <v>114</v>
      </c>
      <c r="C121" s="10" t="s">
        <v>189</v>
      </c>
      <c r="D121" s="10">
        <v>15</v>
      </c>
      <c r="E121" s="10">
        <v>2</v>
      </c>
      <c r="F121" s="10">
        <f t="shared" si="2"/>
        <v>6</v>
      </c>
      <c r="G121" s="10" t="s">
        <v>326</v>
      </c>
      <c r="H121" s="10" t="s">
        <v>120</v>
      </c>
    </row>
    <row r="122" spans="1:8" ht="58.05" customHeight="1" x14ac:dyDescent="0.45">
      <c r="A122" s="10" t="s">
        <v>113</v>
      </c>
      <c r="B122" s="10" t="s">
        <v>114</v>
      </c>
      <c r="C122" s="10" t="s">
        <v>197</v>
      </c>
      <c r="D122" s="10">
        <v>15</v>
      </c>
      <c r="E122" s="10">
        <v>3</v>
      </c>
      <c r="F122" s="10">
        <f t="shared" si="2"/>
        <v>9</v>
      </c>
      <c r="G122" s="10" t="s">
        <v>327</v>
      </c>
      <c r="H122" s="10" t="s">
        <v>120</v>
      </c>
    </row>
    <row r="123" spans="1:8" ht="58.05" customHeight="1" x14ac:dyDescent="0.45">
      <c r="A123" s="10" t="s">
        <v>113</v>
      </c>
      <c r="B123" s="10" t="s">
        <v>114</v>
      </c>
      <c r="C123" s="10" t="s">
        <v>205</v>
      </c>
      <c r="D123" s="10">
        <v>10</v>
      </c>
      <c r="E123" s="10">
        <v>3</v>
      </c>
      <c r="F123" s="10">
        <f t="shared" si="2"/>
        <v>6</v>
      </c>
      <c r="G123" s="10" t="s">
        <v>328</v>
      </c>
      <c r="H123" s="10" t="s">
        <v>120</v>
      </c>
    </row>
    <row r="125" spans="1:8" ht="34.049999999999997" customHeight="1" x14ac:dyDescent="0.45">
      <c r="A125" s="28" t="s">
        <v>329</v>
      </c>
      <c r="B125" s="26"/>
      <c r="C125" s="26"/>
      <c r="D125" s="26"/>
      <c r="E125" s="26"/>
      <c r="F125" s="26"/>
      <c r="G125" s="26"/>
      <c r="H125" s="26"/>
    </row>
  </sheetData>
  <mergeCells count="15">
    <mergeCell ref="A1:K1"/>
    <mergeCell ref="A46:D46"/>
    <mergeCell ref="A13:Q13"/>
    <mergeCell ref="A2:K2"/>
    <mergeCell ref="A70:I70"/>
    <mergeCell ref="A61:I61"/>
    <mergeCell ref="A5:K5"/>
    <mergeCell ref="A26:F26"/>
    <mergeCell ref="A53:F53"/>
    <mergeCell ref="A4:K4"/>
    <mergeCell ref="A3:K3"/>
    <mergeCell ref="A125:H125"/>
    <mergeCell ref="A36:I36"/>
    <mergeCell ref="A72:H72"/>
    <mergeCell ref="A44:I44"/>
  </mergeCells>
  <conditionalFormatting sqref="E15:E24">
    <cfRule type="dataBar" priority="1">
      <dataBar>
        <cfvo type="num" val="0"/>
        <cfvo type="num" val="45"/>
        <color rgb="FF5B9BD5"/>
      </dataBar>
    </cfRule>
  </conditionalFormatting>
  <conditionalFormatting sqref="F15:F24">
    <cfRule type="dataBar" priority="2">
      <dataBar>
        <cfvo type="num" val="0"/>
        <cfvo type="num" val="15"/>
        <color rgb="FF5B9BD5"/>
      </dataBar>
    </cfRule>
  </conditionalFormatting>
  <conditionalFormatting sqref="G15:G24">
    <cfRule type="dataBar" priority="3">
      <dataBar>
        <cfvo type="num" val="0"/>
        <cfvo type="num" val="15"/>
        <color rgb="FF5B9BD5"/>
      </dataBar>
    </cfRule>
  </conditionalFormatting>
  <conditionalFormatting sqref="H15:H24">
    <cfRule type="dataBar" priority="4">
      <dataBar>
        <cfvo type="num" val="0"/>
        <cfvo type="num" val="15"/>
        <color rgb="FF5B9BD5"/>
      </dataBar>
    </cfRule>
  </conditionalFormatting>
  <conditionalFormatting sqref="I15:I24">
    <cfRule type="dataBar" priority="5">
      <dataBar>
        <cfvo type="num" val="0"/>
        <cfvo type="num" val="10"/>
        <color rgb="FF5B9BD5"/>
      </dataBar>
    </cfRule>
  </conditionalFormatting>
  <conditionalFormatting sqref="J15:J24">
    <cfRule type="dataBar" priority="6">
      <dataBar>
        <cfvo type="num" val="0"/>
        <cfvo type="num" val="100"/>
        <color rgb="FF5B9BD5"/>
      </dataBar>
    </cfRule>
  </conditionalFormatting>
  <conditionalFormatting sqref="K15:K24">
    <cfRule type="cellIs" dxfId="3" priority="7" operator="equal">
      <formula>"CORE FIT"</formula>
    </cfRule>
    <cfRule type="cellIs" dxfId="2" priority="8" operator="equal">
      <formula>"STRONG ROLE-SPECIFIC FIT"</formula>
    </cfRule>
    <cfRule type="cellIs" dxfId="1" priority="9" operator="equal">
      <formula>"SUPPORTING ONLY"</formula>
    </cfRule>
    <cfRule type="cellIs" dxfId="0" priority="10" operator="equal">
      <formula>"LOW DIRECT TRANSFER"</formula>
    </cfRule>
  </conditionalFormatting>
  <dataValidations count="1">
    <dataValidation type="whole" sqref="E74:E123" xr:uid="{00000000-0002-0000-0000-000000000000}">
      <formula1>0</formula1>
      <formula2>5</formula2>
    </dataValidation>
  </dataValidations>
  <hyperlinks>
    <hyperlink ref="K7" r:id="rId1" xr:uid="{00000000-0004-0000-0000-000000000000}"/>
    <hyperlink ref="K8" r:id="rId2" xr:uid="{00000000-0004-0000-0000-000001000000}"/>
    <hyperlink ref="K9" r:id="rId3" xr:uid="{00000000-0004-0000-0000-000002000000}"/>
    <hyperlink ref="K10" r:id="rId4" xr:uid="{00000000-0004-0000-0000-000003000000}"/>
    <hyperlink ref="K11" r:id="rId5" xr:uid="{00000000-0004-0000-0000-000004000000}"/>
    <hyperlink ref="P15" r:id="rId6" xr:uid="{00000000-0004-0000-0000-000005000000}"/>
    <hyperlink ref="P16" r:id="rId7" xr:uid="{00000000-0004-0000-0000-000006000000}"/>
    <hyperlink ref="P17" r:id="rId8" xr:uid="{00000000-0004-0000-0000-000007000000}"/>
    <hyperlink ref="P18" r:id="rId9" xr:uid="{00000000-0004-0000-0000-000008000000}"/>
    <hyperlink ref="P19" r:id="rId10" xr:uid="{00000000-0004-0000-0000-000009000000}"/>
    <hyperlink ref="P20" r:id="rId11" xr:uid="{00000000-0004-0000-0000-00000A000000}"/>
    <hyperlink ref="P21" r:id="rId12" xr:uid="{00000000-0004-0000-0000-00000B000000}"/>
    <hyperlink ref="P22" r:id="rId13" xr:uid="{00000000-0004-0000-0000-00000C000000}"/>
    <hyperlink ref="P23" r:id="rId14" xr:uid="{00000000-0004-0000-0000-00000D000000}"/>
    <hyperlink ref="P24" r:id="rId15" xr:uid="{00000000-0004-0000-0000-00000E000000}"/>
  </hyperlinks>
  <pageMargins left="0.75" right="0.75" top="1" bottom="1" header="0.5" footer="0.5"/>
  <pageSetup fitToWidth="2" fitToHeight="0" orientation="landscape"/>
  <legacyDrawing r:id="rId16"/>
  <tableParts count="8">
    <tablePart r:id="rId17"/>
    <tablePart r:id="rId18"/>
    <tablePart r:id="rId19"/>
    <tablePart r:id="rId20"/>
    <tablePart r:id="rId21"/>
    <tablePart r:id="rId22"/>
    <tablePart r:id="rId23"/>
    <tablePart r:id="rId2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pageSetUpPr fitToPage="1"/>
  </sheetPr>
  <dimension ref="A1:F137"/>
  <sheetViews>
    <sheetView showGridLines="0" zoomScale="90" workbookViewId="0">
      <pane ySplit="5" topLeftCell="A6" activePane="bottomLeft" state="frozen"/>
      <selection pane="bottomLeft"/>
    </sheetView>
  </sheetViews>
  <sheetFormatPr defaultRowHeight="14.25" x14ac:dyDescent="0.45"/>
  <cols>
    <col min="1" max="1" width="26" customWidth="1"/>
    <col min="2" max="2" width="34" customWidth="1"/>
    <col min="3" max="3" width="38" customWidth="1"/>
    <col min="4" max="4" width="92" customWidth="1"/>
    <col min="5" max="5" width="36" customWidth="1"/>
    <col min="6" max="6" width="48" customWidth="1"/>
  </cols>
  <sheetData>
    <row r="1" spans="1:6" ht="34.049999999999997" customHeight="1" x14ac:dyDescent="0.45">
      <c r="A1" s="36" t="s">
        <v>330</v>
      </c>
      <c r="B1" s="26"/>
      <c r="C1" s="26"/>
      <c r="D1" s="26"/>
      <c r="E1" s="26"/>
      <c r="F1" s="26"/>
    </row>
    <row r="2" spans="1:6" ht="28.05" customHeight="1" x14ac:dyDescent="0.45">
      <c r="A2" s="35" t="s">
        <v>331</v>
      </c>
      <c r="B2" s="26"/>
      <c r="C2" s="26"/>
      <c r="D2" s="26"/>
      <c r="E2" s="26"/>
      <c r="F2" s="26"/>
    </row>
    <row r="3" spans="1:6" ht="15.75" x14ac:dyDescent="0.5">
      <c r="A3" s="34" t="s">
        <v>332</v>
      </c>
      <c r="B3" s="26"/>
      <c r="C3" s="26"/>
      <c r="D3" s="26"/>
      <c r="E3" s="26"/>
      <c r="F3" s="26"/>
    </row>
    <row r="4" spans="1:6" ht="30" customHeight="1" x14ac:dyDescent="0.45">
      <c r="A4" s="28" t="s">
        <v>333</v>
      </c>
      <c r="B4" s="26"/>
      <c r="C4" s="26"/>
      <c r="D4" s="26"/>
      <c r="E4" s="26"/>
      <c r="F4" s="26"/>
    </row>
    <row r="5" spans="1:6" x14ac:dyDescent="0.45">
      <c r="A5" s="1" t="s">
        <v>334</v>
      </c>
      <c r="B5" s="1" t="s">
        <v>335</v>
      </c>
      <c r="C5" s="1" t="s">
        <v>336</v>
      </c>
      <c r="D5" s="1" t="s">
        <v>337</v>
      </c>
      <c r="E5" s="1" t="s">
        <v>338</v>
      </c>
      <c r="F5" s="1" t="s">
        <v>339</v>
      </c>
    </row>
    <row r="6" spans="1:6" ht="44" customHeight="1" x14ac:dyDescent="0.45">
      <c r="A6" s="10" t="s">
        <v>340</v>
      </c>
      <c r="B6" s="10" t="s">
        <v>341</v>
      </c>
      <c r="C6" s="10" t="s">
        <v>342</v>
      </c>
      <c r="D6" s="10" t="s">
        <v>343</v>
      </c>
      <c r="E6" s="10" t="s">
        <v>344</v>
      </c>
      <c r="F6" s="10" t="s">
        <v>345</v>
      </c>
    </row>
    <row r="7" spans="1:6" ht="44" customHeight="1" x14ac:dyDescent="0.45">
      <c r="A7" s="10" t="s">
        <v>340</v>
      </c>
      <c r="B7" s="10" t="s">
        <v>346</v>
      </c>
      <c r="C7" s="10" t="s">
        <v>347</v>
      </c>
      <c r="D7" s="10" t="s">
        <v>348</v>
      </c>
      <c r="E7" s="10" t="s">
        <v>349</v>
      </c>
      <c r="F7" s="10" t="s">
        <v>345</v>
      </c>
    </row>
    <row r="8" spans="1:6" ht="44" customHeight="1" x14ac:dyDescent="0.45">
      <c r="A8" s="10" t="s">
        <v>340</v>
      </c>
      <c r="B8" s="10" t="s">
        <v>350</v>
      </c>
      <c r="C8" s="10" t="s">
        <v>351</v>
      </c>
      <c r="D8" s="10" t="s">
        <v>352</v>
      </c>
      <c r="E8" s="10" t="s">
        <v>353</v>
      </c>
      <c r="F8" s="10" t="s">
        <v>345</v>
      </c>
    </row>
    <row r="9" spans="1:6" ht="44" customHeight="1" x14ac:dyDescent="0.45">
      <c r="A9" s="10" t="s">
        <v>340</v>
      </c>
      <c r="B9" s="10" t="s">
        <v>354</v>
      </c>
      <c r="C9" s="10" t="s">
        <v>7</v>
      </c>
      <c r="D9" s="10" t="s">
        <v>355</v>
      </c>
      <c r="E9" s="10" t="s">
        <v>356</v>
      </c>
      <c r="F9" s="10" t="s">
        <v>345</v>
      </c>
    </row>
    <row r="10" spans="1:6" ht="44" customHeight="1" x14ac:dyDescent="0.45">
      <c r="A10" s="10" t="s">
        <v>340</v>
      </c>
      <c r="B10" s="10" t="s">
        <v>357</v>
      </c>
      <c r="C10" s="10" t="s">
        <v>358</v>
      </c>
      <c r="D10" s="10" t="s">
        <v>359</v>
      </c>
      <c r="E10" s="10" t="s">
        <v>360</v>
      </c>
      <c r="F10" s="10" t="s">
        <v>345</v>
      </c>
    </row>
    <row r="11" spans="1:6" ht="44" customHeight="1" x14ac:dyDescent="0.45">
      <c r="A11" s="10" t="s">
        <v>340</v>
      </c>
      <c r="B11" s="10" t="s">
        <v>361</v>
      </c>
      <c r="C11" s="10" t="s">
        <v>362</v>
      </c>
      <c r="D11" s="10" t="s">
        <v>363</v>
      </c>
      <c r="E11" s="10" t="s">
        <v>364</v>
      </c>
      <c r="F11" s="10" t="s">
        <v>345</v>
      </c>
    </row>
    <row r="12" spans="1:6" ht="44" customHeight="1" x14ac:dyDescent="0.45">
      <c r="A12" s="10" t="s">
        <v>340</v>
      </c>
      <c r="B12" s="10" t="s">
        <v>365</v>
      </c>
      <c r="C12" s="10" t="s">
        <v>14</v>
      </c>
      <c r="D12" s="10" t="s">
        <v>366</v>
      </c>
      <c r="E12" s="10" t="s">
        <v>367</v>
      </c>
      <c r="F12" s="10" t="s">
        <v>345</v>
      </c>
    </row>
    <row r="13" spans="1:6" ht="44" customHeight="1" x14ac:dyDescent="0.45">
      <c r="A13" s="10" t="s">
        <v>340</v>
      </c>
      <c r="B13" s="10" t="s">
        <v>368</v>
      </c>
      <c r="C13" s="10" t="s">
        <v>369</v>
      </c>
      <c r="D13" s="10" t="s">
        <v>370</v>
      </c>
      <c r="E13" s="10" t="s">
        <v>371</v>
      </c>
      <c r="F13" s="10" t="s">
        <v>345</v>
      </c>
    </row>
    <row r="14" spans="1:6" ht="44" customHeight="1" x14ac:dyDescent="0.45">
      <c r="A14" s="10" t="s">
        <v>340</v>
      </c>
      <c r="B14" s="10" t="s">
        <v>372</v>
      </c>
      <c r="C14" s="10" t="s">
        <v>373</v>
      </c>
      <c r="D14" s="10" t="s">
        <v>374</v>
      </c>
      <c r="E14" s="10" t="s">
        <v>375</v>
      </c>
      <c r="F14" s="10" t="s">
        <v>345</v>
      </c>
    </row>
    <row r="15" spans="1:6" ht="44" customHeight="1" x14ac:dyDescent="0.45">
      <c r="A15" s="10" t="s">
        <v>340</v>
      </c>
      <c r="B15" s="10" t="s">
        <v>376</v>
      </c>
      <c r="C15" s="10" t="s">
        <v>377</v>
      </c>
      <c r="D15" s="10" t="s">
        <v>378</v>
      </c>
      <c r="E15" s="10" t="s">
        <v>379</v>
      </c>
      <c r="F15" s="10" t="s">
        <v>345</v>
      </c>
    </row>
    <row r="16" spans="1:6" ht="44" customHeight="1" x14ac:dyDescent="0.45">
      <c r="A16" s="10" t="s">
        <v>340</v>
      </c>
      <c r="B16" s="10" t="s">
        <v>380</v>
      </c>
      <c r="C16" s="10" t="s">
        <v>381</v>
      </c>
      <c r="D16" s="10" t="s">
        <v>382</v>
      </c>
      <c r="E16" s="10" t="s">
        <v>383</v>
      </c>
      <c r="F16" s="10" t="s">
        <v>345</v>
      </c>
    </row>
    <row r="17" spans="1:6" ht="44" customHeight="1" x14ac:dyDescent="0.45">
      <c r="A17" s="10" t="s">
        <v>340</v>
      </c>
      <c r="B17" s="10" t="s">
        <v>384</v>
      </c>
      <c r="C17" s="10" t="s">
        <v>385</v>
      </c>
      <c r="D17" s="10" t="s">
        <v>386</v>
      </c>
      <c r="E17" s="10" t="s">
        <v>387</v>
      </c>
      <c r="F17" s="10" t="s">
        <v>345</v>
      </c>
    </row>
    <row r="18" spans="1:6" ht="44" customHeight="1" x14ac:dyDescent="0.45">
      <c r="A18" s="10" t="s">
        <v>340</v>
      </c>
      <c r="B18" s="10" t="s">
        <v>388</v>
      </c>
      <c r="C18" s="10" t="s">
        <v>389</v>
      </c>
      <c r="D18" s="10" t="s">
        <v>390</v>
      </c>
      <c r="E18" s="10" t="s">
        <v>391</v>
      </c>
      <c r="F18" s="10" t="s">
        <v>345</v>
      </c>
    </row>
    <row r="19" spans="1:6" ht="44" customHeight="1" x14ac:dyDescent="0.45">
      <c r="A19" s="10" t="s">
        <v>340</v>
      </c>
      <c r="B19" s="10" t="s">
        <v>392</v>
      </c>
      <c r="C19" s="10" t="s">
        <v>173</v>
      </c>
      <c r="D19" s="10" t="s">
        <v>393</v>
      </c>
      <c r="E19" s="10" t="s">
        <v>394</v>
      </c>
      <c r="F19" s="10" t="s">
        <v>345</v>
      </c>
    </row>
    <row r="20" spans="1:6" ht="44" customHeight="1" x14ac:dyDescent="0.45">
      <c r="A20" s="10" t="s">
        <v>340</v>
      </c>
      <c r="B20" s="10" t="s">
        <v>395</v>
      </c>
      <c r="C20" s="10" t="s">
        <v>181</v>
      </c>
      <c r="D20" s="10" t="s">
        <v>396</v>
      </c>
      <c r="E20" s="10" t="s">
        <v>397</v>
      </c>
      <c r="F20" s="10" t="s">
        <v>345</v>
      </c>
    </row>
    <row r="21" spans="1:6" ht="44" customHeight="1" x14ac:dyDescent="0.45">
      <c r="A21" s="10" t="s">
        <v>340</v>
      </c>
      <c r="B21" s="10" t="s">
        <v>398</v>
      </c>
      <c r="C21" s="10" t="s">
        <v>189</v>
      </c>
      <c r="D21" s="10" t="s">
        <v>399</v>
      </c>
      <c r="E21" s="10" t="s">
        <v>397</v>
      </c>
      <c r="F21" s="10" t="s">
        <v>345</v>
      </c>
    </row>
    <row r="22" spans="1:6" ht="44" customHeight="1" x14ac:dyDescent="0.45">
      <c r="A22" s="10" t="s">
        <v>340</v>
      </c>
      <c r="B22" s="10" t="s">
        <v>400</v>
      </c>
      <c r="C22" s="10" t="s">
        <v>197</v>
      </c>
      <c r="D22" s="10" t="s">
        <v>401</v>
      </c>
      <c r="E22" s="10" t="s">
        <v>397</v>
      </c>
      <c r="F22" s="10" t="s">
        <v>345</v>
      </c>
    </row>
    <row r="23" spans="1:6" ht="44" customHeight="1" x14ac:dyDescent="0.45">
      <c r="A23" s="10" t="s">
        <v>340</v>
      </c>
      <c r="B23" s="10" t="s">
        <v>402</v>
      </c>
      <c r="C23" s="10" t="s">
        <v>205</v>
      </c>
      <c r="D23" s="10" t="s">
        <v>403</v>
      </c>
      <c r="E23" s="10" t="s">
        <v>404</v>
      </c>
      <c r="F23" s="10" t="s">
        <v>345</v>
      </c>
    </row>
    <row r="24" spans="1:6" ht="44" customHeight="1" x14ac:dyDescent="0.45">
      <c r="A24" s="10" t="s">
        <v>340</v>
      </c>
      <c r="B24" s="10" t="s">
        <v>405</v>
      </c>
      <c r="C24" s="10" t="s">
        <v>406</v>
      </c>
      <c r="D24" s="10" t="s">
        <v>407</v>
      </c>
      <c r="E24" s="10" t="s">
        <v>408</v>
      </c>
      <c r="F24" s="10" t="s">
        <v>345</v>
      </c>
    </row>
    <row r="25" spans="1:6" ht="44" customHeight="1" x14ac:dyDescent="0.45">
      <c r="A25" s="10" t="s">
        <v>340</v>
      </c>
      <c r="B25" s="10" t="s">
        <v>409</v>
      </c>
      <c r="C25" s="10" t="s">
        <v>410</v>
      </c>
      <c r="D25" s="10" t="s">
        <v>411</v>
      </c>
      <c r="E25" s="10" t="s">
        <v>412</v>
      </c>
      <c r="F25" s="10" t="s">
        <v>345</v>
      </c>
    </row>
    <row r="26" spans="1:6" ht="44" customHeight="1" x14ac:dyDescent="0.45">
      <c r="A26" s="10" t="s">
        <v>340</v>
      </c>
      <c r="B26" s="10" t="s">
        <v>413</v>
      </c>
      <c r="C26" s="10" t="s">
        <v>69</v>
      </c>
      <c r="D26" s="10" t="s">
        <v>414</v>
      </c>
      <c r="E26" s="10" t="s">
        <v>412</v>
      </c>
      <c r="F26" s="10" t="s">
        <v>345</v>
      </c>
    </row>
    <row r="27" spans="1:6" ht="44" customHeight="1" x14ac:dyDescent="0.45">
      <c r="A27" s="10" t="s">
        <v>340</v>
      </c>
      <c r="B27" s="10" t="s">
        <v>415</v>
      </c>
      <c r="C27" s="10" t="s">
        <v>416</v>
      </c>
      <c r="D27" s="10" t="s">
        <v>417</v>
      </c>
      <c r="E27" s="10" t="s">
        <v>418</v>
      </c>
      <c r="F27" s="10" t="s">
        <v>345</v>
      </c>
    </row>
    <row r="28" spans="1:6" ht="44" customHeight="1" x14ac:dyDescent="0.45">
      <c r="A28" s="10" t="s">
        <v>340</v>
      </c>
      <c r="B28" s="10" t="s">
        <v>419</v>
      </c>
      <c r="C28" s="10" t="s">
        <v>420</v>
      </c>
      <c r="D28" s="10" t="s">
        <v>421</v>
      </c>
      <c r="E28" s="10" t="s">
        <v>422</v>
      </c>
      <c r="F28" s="10" t="s">
        <v>345</v>
      </c>
    </row>
    <row r="29" spans="1:6" ht="44" customHeight="1" x14ac:dyDescent="0.45">
      <c r="A29" s="10" t="s">
        <v>340</v>
      </c>
      <c r="B29" s="10" t="s">
        <v>423</v>
      </c>
      <c r="C29" s="10" t="s">
        <v>424</v>
      </c>
      <c r="D29" s="10" t="s">
        <v>425</v>
      </c>
      <c r="E29" s="10" t="s">
        <v>426</v>
      </c>
      <c r="F29" s="10" t="s">
        <v>345</v>
      </c>
    </row>
    <row r="30" spans="1:6" ht="44" customHeight="1" x14ac:dyDescent="0.45">
      <c r="A30" s="10" t="s">
        <v>340</v>
      </c>
      <c r="B30" s="10" t="s">
        <v>427</v>
      </c>
      <c r="C30" s="10" t="s">
        <v>428</v>
      </c>
      <c r="D30" s="10" t="s">
        <v>429</v>
      </c>
      <c r="E30" s="10" t="s">
        <v>422</v>
      </c>
      <c r="F30" s="10" t="s">
        <v>345</v>
      </c>
    </row>
    <row r="31" spans="1:6" ht="44" customHeight="1" x14ac:dyDescent="0.45">
      <c r="A31" s="10" t="s">
        <v>430</v>
      </c>
      <c r="B31" s="10" t="s">
        <v>431</v>
      </c>
      <c r="C31" s="10" t="s">
        <v>432</v>
      </c>
      <c r="D31" s="10" t="s">
        <v>433</v>
      </c>
      <c r="E31" s="10" t="s">
        <v>434</v>
      </c>
      <c r="F31" s="10" t="s">
        <v>435</v>
      </c>
    </row>
    <row r="32" spans="1:6" ht="44" customHeight="1" x14ac:dyDescent="0.45">
      <c r="A32" s="10" t="s">
        <v>430</v>
      </c>
      <c r="B32" s="10" t="s">
        <v>436</v>
      </c>
      <c r="C32" s="10" t="s">
        <v>437</v>
      </c>
      <c r="D32" s="10" t="s">
        <v>438</v>
      </c>
      <c r="E32" s="10" t="s">
        <v>434</v>
      </c>
      <c r="F32" s="10" t="s">
        <v>435</v>
      </c>
    </row>
    <row r="33" spans="1:6" ht="44" customHeight="1" x14ac:dyDescent="0.45">
      <c r="A33" s="10" t="s">
        <v>430</v>
      </c>
      <c r="B33" s="10" t="s">
        <v>439</v>
      </c>
      <c r="C33" s="10" t="s">
        <v>440</v>
      </c>
      <c r="D33" s="10" t="s">
        <v>441</v>
      </c>
      <c r="E33" s="10" t="s">
        <v>434</v>
      </c>
      <c r="F33" s="10" t="s">
        <v>435</v>
      </c>
    </row>
    <row r="34" spans="1:6" ht="44" customHeight="1" x14ac:dyDescent="0.45">
      <c r="A34" s="10" t="s">
        <v>430</v>
      </c>
      <c r="B34" s="10" t="s">
        <v>442</v>
      </c>
      <c r="C34" s="10" t="s">
        <v>443</v>
      </c>
      <c r="D34" s="10" t="s">
        <v>444</v>
      </c>
      <c r="E34" s="10" t="s">
        <v>434</v>
      </c>
      <c r="F34" s="10" t="s">
        <v>435</v>
      </c>
    </row>
    <row r="35" spans="1:6" ht="44" customHeight="1" x14ac:dyDescent="0.45">
      <c r="A35" s="10" t="s">
        <v>430</v>
      </c>
      <c r="B35" s="10" t="s">
        <v>445</v>
      </c>
      <c r="C35" s="10" t="s">
        <v>446</v>
      </c>
      <c r="D35" s="10" t="s">
        <v>447</v>
      </c>
      <c r="E35" s="10" t="s">
        <v>434</v>
      </c>
      <c r="F35" s="10" t="s">
        <v>435</v>
      </c>
    </row>
    <row r="36" spans="1:6" ht="44" customHeight="1" x14ac:dyDescent="0.45">
      <c r="A36" s="10" t="s">
        <v>430</v>
      </c>
      <c r="B36" s="10" t="s">
        <v>448</v>
      </c>
      <c r="C36" s="10" t="s">
        <v>449</v>
      </c>
      <c r="D36" s="10" t="s">
        <v>450</v>
      </c>
      <c r="E36" s="10" t="s">
        <v>434</v>
      </c>
      <c r="F36" s="10" t="s">
        <v>435</v>
      </c>
    </row>
    <row r="37" spans="1:6" ht="44" customHeight="1" x14ac:dyDescent="0.45">
      <c r="A37" s="10" t="s">
        <v>430</v>
      </c>
      <c r="B37" s="10" t="s">
        <v>451</v>
      </c>
      <c r="C37" s="10" t="s">
        <v>452</v>
      </c>
      <c r="D37" s="10" t="s">
        <v>453</v>
      </c>
      <c r="E37" s="10" t="s">
        <v>434</v>
      </c>
      <c r="F37" s="10" t="s">
        <v>435</v>
      </c>
    </row>
    <row r="38" spans="1:6" ht="44" customHeight="1" x14ac:dyDescent="0.45">
      <c r="A38" s="10" t="s">
        <v>430</v>
      </c>
      <c r="B38" s="10" t="s">
        <v>454</v>
      </c>
      <c r="C38" s="10" t="s">
        <v>455</v>
      </c>
      <c r="D38" s="10" t="s">
        <v>456</v>
      </c>
      <c r="E38" s="10" t="s">
        <v>434</v>
      </c>
      <c r="F38" s="10" t="s">
        <v>435</v>
      </c>
    </row>
    <row r="39" spans="1:6" ht="44" customHeight="1" x14ac:dyDescent="0.45">
      <c r="A39" s="10" t="s">
        <v>430</v>
      </c>
      <c r="B39" s="10" t="s">
        <v>457</v>
      </c>
      <c r="C39" s="10" t="s">
        <v>458</v>
      </c>
      <c r="D39" s="10" t="s">
        <v>459</v>
      </c>
      <c r="E39" s="10" t="s">
        <v>434</v>
      </c>
      <c r="F39" s="10" t="s">
        <v>435</v>
      </c>
    </row>
    <row r="40" spans="1:6" ht="44" customHeight="1" x14ac:dyDescent="0.45">
      <c r="A40" s="10" t="s">
        <v>430</v>
      </c>
      <c r="B40" s="10" t="s">
        <v>460</v>
      </c>
      <c r="C40" s="10" t="s">
        <v>461</v>
      </c>
      <c r="D40" s="10" t="s">
        <v>462</v>
      </c>
      <c r="E40" s="10" t="s">
        <v>434</v>
      </c>
      <c r="F40" s="10" t="s">
        <v>435</v>
      </c>
    </row>
    <row r="41" spans="1:6" ht="44" customHeight="1" x14ac:dyDescent="0.45">
      <c r="A41" s="10" t="s">
        <v>430</v>
      </c>
      <c r="B41" s="10" t="s">
        <v>463</v>
      </c>
      <c r="C41" s="10" t="s">
        <v>464</v>
      </c>
      <c r="D41" s="10" t="s">
        <v>465</v>
      </c>
      <c r="E41" s="10" t="s">
        <v>434</v>
      </c>
      <c r="F41" s="10" t="s">
        <v>435</v>
      </c>
    </row>
    <row r="42" spans="1:6" ht="44" customHeight="1" x14ac:dyDescent="0.45">
      <c r="A42" s="10" t="s">
        <v>430</v>
      </c>
      <c r="B42" s="10" t="s">
        <v>466</v>
      </c>
      <c r="C42" s="10" t="s">
        <v>467</v>
      </c>
      <c r="D42" s="10" t="s">
        <v>468</v>
      </c>
      <c r="E42" s="10" t="s">
        <v>434</v>
      </c>
      <c r="F42" s="10" t="s">
        <v>435</v>
      </c>
    </row>
    <row r="43" spans="1:6" ht="44" customHeight="1" x14ac:dyDescent="0.45">
      <c r="A43" s="10" t="s">
        <v>430</v>
      </c>
      <c r="B43" s="10" t="s">
        <v>469</v>
      </c>
      <c r="C43" s="10" t="s">
        <v>470</v>
      </c>
      <c r="D43" s="10" t="s">
        <v>471</v>
      </c>
      <c r="E43" s="10" t="s">
        <v>434</v>
      </c>
      <c r="F43" s="10" t="s">
        <v>435</v>
      </c>
    </row>
    <row r="44" spans="1:6" ht="44" customHeight="1" x14ac:dyDescent="0.45">
      <c r="A44" s="10" t="s">
        <v>430</v>
      </c>
      <c r="B44" s="10" t="s">
        <v>472</v>
      </c>
      <c r="C44" s="10" t="s">
        <v>473</v>
      </c>
      <c r="D44" s="10" t="s">
        <v>474</v>
      </c>
      <c r="E44" s="10" t="s">
        <v>434</v>
      </c>
      <c r="F44" s="10" t="s">
        <v>435</v>
      </c>
    </row>
    <row r="45" spans="1:6" ht="44" customHeight="1" x14ac:dyDescent="0.45">
      <c r="A45" s="10" t="s">
        <v>430</v>
      </c>
      <c r="B45" s="10" t="s">
        <v>475</v>
      </c>
      <c r="C45" s="10" t="s">
        <v>476</v>
      </c>
      <c r="D45" s="10" t="s">
        <v>477</v>
      </c>
      <c r="E45" s="10" t="s">
        <v>434</v>
      </c>
      <c r="F45" s="10" t="s">
        <v>435</v>
      </c>
    </row>
    <row r="46" spans="1:6" ht="44" customHeight="1" x14ac:dyDescent="0.45">
      <c r="A46" s="10" t="s">
        <v>430</v>
      </c>
      <c r="B46" s="10" t="s">
        <v>478</v>
      </c>
      <c r="C46" s="10" t="s">
        <v>479</v>
      </c>
      <c r="D46" s="10" t="s">
        <v>480</v>
      </c>
      <c r="E46" s="10" t="s">
        <v>434</v>
      </c>
      <c r="F46" s="10" t="s">
        <v>435</v>
      </c>
    </row>
    <row r="47" spans="1:6" ht="44" customHeight="1" x14ac:dyDescent="0.45">
      <c r="A47" s="10" t="s">
        <v>430</v>
      </c>
      <c r="B47" s="10" t="s">
        <v>481</v>
      </c>
      <c r="C47" s="10" t="s">
        <v>70</v>
      </c>
      <c r="D47" s="10" t="s">
        <v>482</v>
      </c>
      <c r="E47" s="10" t="s">
        <v>434</v>
      </c>
      <c r="F47" s="10" t="s">
        <v>435</v>
      </c>
    </row>
    <row r="48" spans="1:6" ht="44" customHeight="1" x14ac:dyDescent="0.45">
      <c r="A48" s="10" t="s">
        <v>430</v>
      </c>
      <c r="B48" s="10" t="s">
        <v>483</v>
      </c>
      <c r="C48" s="10" t="s">
        <v>484</v>
      </c>
      <c r="D48" s="10" t="s">
        <v>485</v>
      </c>
      <c r="E48" s="10" t="s">
        <v>434</v>
      </c>
      <c r="F48" s="10" t="s">
        <v>435</v>
      </c>
    </row>
    <row r="49" spans="1:6" ht="44" customHeight="1" x14ac:dyDescent="0.45">
      <c r="A49" s="10" t="s">
        <v>430</v>
      </c>
      <c r="B49" s="10" t="s">
        <v>486</v>
      </c>
      <c r="C49" s="10" t="s">
        <v>487</v>
      </c>
      <c r="D49" s="10" t="s">
        <v>488</v>
      </c>
      <c r="E49" s="10" t="s">
        <v>434</v>
      </c>
      <c r="F49" s="10" t="s">
        <v>435</v>
      </c>
    </row>
    <row r="50" spans="1:6" ht="44" customHeight="1" x14ac:dyDescent="0.45">
      <c r="A50" s="10" t="s">
        <v>430</v>
      </c>
      <c r="B50" s="10" t="s">
        <v>489</v>
      </c>
      <c r="C50" s="10" t="s">
        <v>490</v>
      </c>
      <c r="D50" s="10" t="s">
        <v>491</v>
      </c>
      <c r="E50" s="10" t="s">
        <v>434</v>
      </c>
      <c r="F50" s="10" t="s">
        <v>435</v>
      </c>
    </row>
    <row r="51" spans="1:6" ht="44" customHeight="1" x14ac:dyDescent="0.45">
      <c r="A51" s="10" t="s">
        <v>430</v>
      </c>
      <c r="B51" s="10" t="s">
        <v>492</v>
      </c>
      <c r="C51" s="10" t="s">
        <v>493</v>
      </c>
      <c r="D51" s="10" t="s">
        <v>494</v>
      </c>
      <c r="E51" s="10" t="s">
        <v>434</v>
      </c>
      <c r="F51" s="10" t="s">
        <v>435</v>
      </c>
    </row>
    <row r="52" spans="1:6" ht="44" customHeight="1" x14ac:dyDescent="0.45">
      <c r="A52" s="10" t="s">
        <v>430</v>
      </c>
      <c r="B52" s="10" t="s">
        <v>495</v>
      </c>
      <c r="C52" s="10" t="s">
        <v>496</v>
      </c>
      <c r="D52" s="10" t="s">
        <v>497</v>
      </c>
      <c r="E52" s="10" t="s">
        <v>434</v>
      </c>
      <c r="F52" s="10" t="s">
        <v>435</v>
      </c>
    </row>
    <row r="53" spans="1:6" ht="44" customHeight="1" x14ac:dyDescent="0.45">
      <c r="A53" s="10" t="s">
        <v>430</v>
      </c>
      <c r="B53" s="10" t="s">
        <v>498</v>
      </c>
      <c r="C53" s="10" t="s">
        <v>499</v>
      </c>
      <c r="D53" s="10" t="s">
        <v>500</v>
      </c>
      <c r="E53" s="10" t="s">
        <v>371</v>
      </c>
      <c r="F53" s="10" t="s">
        <v>435</v>
      </c>
    </row>
    <row r="54" spans="1:6" ht="44" customHeight="1" x14ac:dyDescent="0.45">
      <c r="A54" s="10" t="s">
        <v>430</v>
      </c>
      <c r="B54" s="10" t="s">
        <v>501</v>
      </c>
      <c r="C54" s="10" t="s">
        <v>502</v>
      </c>
      <c r="D54" s="10" t="s">
        <v>503</v>
      </c>
      <c r="E54" s="10" t="s">
        <v>504</v>
      </c>
      <c r="F54" s="10" t="s">
        <v>435</v>
      </c>
    </row>
    <row r="55" spans="1:6" ht="44" customHeight="1" x14ac:dyDescent="0.45">
      <c r="A55" s="10" t="s">
        <v>430</v>
      </c>
      <c r="B55" s="10" t="s">
        <v>505</v>
      </c>
      <c r="C55" s="10" t="s">
        <v>506</v>
      </c>
      <c r="D55" s="10" t="s">
        <v>507</v>
      </c>
      <c r="E55" s="10" t="s">
        <v>434</v>
      </c>
      <c r="F55" s="10" t="s">
        <v>435</v>
      </c>
    </row>
    <row r="56" spans="1:6" ht="44" customHeight="1" x14ac:dyDescent="0.45">
      <c r="A56" s="10" t="s">
        <v>430</v>
      </c>
      <c r="B56" s="10" t="s">
        <v>508</v>
      </c>
      <c r="C56" s="10" t="s">
        <v>509</v>
      </c>
      <c r="D56" s="10" t="s">
        <v>510</v>
      </c>
      <c r="E56" s="10" t="s">
        <v>434</v>
      </c>
      <c r="F56" s="10" t="s">
        <v>435</v>
      </c>
    </row>
    <row r="57" spans="1:6" ht="44" customHeight="1" x14ac:dyDescent="0.45">
      <c r="A57" s="10" t="s">
        <v>430</v>
      </c>
      <c r="B57" s="10" t="s">
        <v>511</v>
      </c>
      <c r="C57" s="10" t="s">
        <v>512</v>
      </c>
      <c r="D57" s="10" t="s">
        <v>513</v>
      </c>
      <c r="E57" s="10" t="s">
        <v>434</v>
      </c>
      <c r="F57" s="10" t="s">
        <v>435</v>
      </c>
    </row>
    <row r="58" spans="1:6" ht="44" customHeight="1" x14ac:dyDescent="0.45">
      <c r="A58" s="10" t="s">
        <v>430</v>
      </c>
      <c r="B58" s="10" t="s">
        <v>514</v>
      </c>
      <c r="C58" s="10" t="s">
        <v>515</v>
      </c>
      <c r="D58" s="10" t="s">
        <v>516</v>
      </c>
      <c r="E58" s="10" t="s">
        <v>434</v>
      </c>
      <c r="F58" s="10" t="s">
        <v>435</v>
      </c>
    </row>
    <row r="59" spans="1:6" ht="44" customHeight="1" x14ac:dyDescent="0.45">
      <c r="A59" s="10" t="s">
        <v>430</v>
      </c>
      <c r="B59" s="10" t="s">
        <v>517</v>
      </c>
      <c r="C59" s="10" t="s">
        <v>518</v>
      </c>
      <c r="D59" s="10" t="s">
        <v>519</v>
      </c>
      <c r="E59" s="10" t="s">
        <v>434</v>
      </c>
      <c r="F59" s="10" t="s">
        <v>435</v>
      </c>
    </row>
    <row r="60" spans="1:6" ht="44" customHeight="1" x14ac:dyDescent="0.45">
      <c r="A60" s="10" t="s">
        <v>430</v>
      </c>
      <c r="B60" s="10" t="s">
        <v>520</v>
      </c>
      <c r="C60" s="10" t="s">
        <v>521</v>
      </c>
      <c r="D60" s="10" t="s">
        <v>522</v>
      </c>
      <c r="E60" s="10" t="s">
        <v>434</v>
      </c>
      <c r="F60" s="10" t="s">
        <v>435</v>
      </c>
    </row>
    <row r="61" spans="1:6" ht="44" customHeight="1" x14ac:dyDescent="0.45">
      <c r="A61" s="10" t="s">
        <v>523</v>
      </c>
      <c r="B61" s="10" t="s">
        <v>524</v>
      </c>
      <c r="C61" s="10" t="s">
        <v>524</v>
      </c>
      <c r="D61" s="10" t="s">
        <v>525</v>
      </c>
      <c r="E61" s="10" t="s">
        <v>526</v>
      </c>
      <c r="F61" s="10" t="s">
        <v>527</v>
      </c>
    </row>
    <row r="62" spans="1:6" ht="44" customHeight="1" x14ac:dyDescent="0.45">
      <c r="A62" s="10" t="s">
        <v>523</v>
      </c>
      <c r="B62" s="10" t="s">
        <v>528</v>
      </c>
      <c r="C62" s="10" t="s">
        <v>529</v>
      </c>
      <c r="D62" s="10" t="s">
        <v>530</v>
      </c>
      <c r="E62" s="10" t="s">
        <v>526</v>
      </c>
      <c r="F62" s="10" t="s">
        <v>527</v>
      </c>
    </row>
    <row r="63" spans="1:6" ht="44" customHeight="1" x14ac:dyDescent="0.45">
      <c r="A63" s="10" t="s">
        <v>523</v>
      </c>
      <c r="B63" s="10" t="s">
        <v>531</v>
      </c>
      <c r="C63" s="10" t="s">
        <v>532</v>
      </c>
      <c r="D63" s="10" t="s">
        <v>533</v>
      </c>
      <c r="E63" s="10" t="s">
        <v>526</v>
      </c>
      <c r="F63" s="10" t="s">
        <v>527</v>
      </c>
    </row>
    <row r="64" spans="1:6" ht="44" customHeight="1" x14ac:dyDescent="0.45">
      <c r="A64" s="10" t="s">
        <v>523</v>
      </c>
      <c r="B64" s="10" t="s">
        <v>534</v>
      </c>
      <c r="C64" s="10" t="s">
        <v>535</v>
      </c>
      <c r="D64" s="10" t="s">
        <v>536</v>
      </c>
      <c r="E64" s="10" t="s">
        <v>526</v>
      </c>
      <c r="F64" s="10" t="s">
        <v>527</v>
      </c>
    </row>
    <row r="65" spans="1:6" ht="44" customHeight="1" x14ac:dyDescent="0.45">
      <c r="A65" s="10" t="s">
        <v>523</v>
      </c>
      <c r="B65" s="10" t="s">
        <v>537</v>
      </c>
      <c r="C65" s="10" t="s">
        <v>538</v>
      </c>
      <c r="D65" s="10" t="s">
        <v>539</v>
      </c>
      <c r="E65" s="10" t="s">
        <v>526</v>
      </c>
      <c r="F65" s="10" t="s">
        <v>527</v>
      </c>
    </row>
    <row r="66" spans="1:6" ht="44" customHeight="1" x14ac:dyDescent="0.45">
      <c r="A66" s="10" t="s">
        <v>523</v>
      </c>
      <c r="B66" s="10" t="s">
        <v>540</v>
      </c>
      <c r="C66" s="10" t="s">
        <v>541</v>
      </c>
      <c r="D66" s="10" t="s">
        <v>542</v>
      </c>
      <c r="E66" s="10" t="s">
        <v>526</v>
      </c>
      <c r="F66" s="10" t="s">
        <v>527</v>
      </c>
    </row>
    <row r="67" spans="1:6" ht="44" customHeight="1" x14ac:dyDescent="0.45">
      <c r="A67" s="10" t="s">
        <v>523</v>
      </c>
      <c r="B67" s="10" t="s">
        <v>543</v>
      </c>
      <c r="C67" s="10" t="s">
        <v>544</v>
      </c>
      <c r="D67" s="10" t="s">
        <v>545</v>
      </c>
      <c r="E67" s="10" t="s">
        <v>526</v>
      </c>
      <c r="F67" s="10" t="s">
        <v>527</v>
      </c>
    </row>
    <row r="68" spans="1:6" ht="44" customHeight="1" x14ac:dyDescent="0.45">
      <c r="A68" s="10" t="s">
        <v>523</v>
      </c>
      <c r="B68" s="10" t="s">
        <v>546</v>
      </c>
      <c r="C68" s="10" t="s">
        <v>547</v>
      </c>
      <c r="D68" s="10" t="s">
        <v>548</v>
      </c>
      <c r="E68" s="10" t="s">
        <v>526</v>
      </c>
      <c r="F68" s="10" t="s">
        <v>527</v>
      </c>
    </row>
    <row r="69" spans="1:6" ht="44" customHeight="1" x14ac:dyDescent="0.45">
      <c r="A69" s="10" t="s">
        <v>523</v>
      </c>
      <c r="B69" s="10" t="s">
        <v>549</v>
      </c>
      <c r="C69" s="10" t="s">
        <v>550</v>
      </c>
      <c r="D69" s="10" t="s">
        <v>551</v>
      </c>
      <c r="E69" s="10" t="s">
        <v>526</v>
      </c>
      <c r="F69" s="10" t="s">
        <v>527</v>
      </c>
    </row>
    <row r="70" spans="1:6" ht="44" customHeight="1" x14ac:dyDescent="0.45">
      <c r="A70" s="10" t="s">
        <v>523</v>
      </c>
      <c r="B70" s="10" t="s">
        <v>552</v>
      </c>
      <c r="C70" s="10" t="s">
        <v>553</v>
      </c>
      <c r="D70" s="10" t="s">
        <v>554</v>
      </c>
      <c r="E70" s="10" t="s">
        <v>526</v>
      </c>
      <c r="F70" s="10" t="s">
        <v>527</v>
      </c>
    </row>
    <row r="71" spans="1:6" ht="44" customHeight="1" x14ac:dyDescent="0.45">
      <c r="A71" s="10" t="s">
        <v>523</v>
      </c>
      <c r="B71" s="10" t="s">
        <v>555</v>
      </c>
      <c r="C71" s="10" t="s">
        <v>556</v>
      </c>
      <c r="D71" s="10" t="s">
        <v>557</v>
      </c>
      <c r="E71" s="10" t="s">
        <v>526</v>
      </c>
      <c r="F71" s="10" t="s">
        <v>527</v>
      </c>
    </row>
    <row r="72" spans="1:6" ht="44" customHeight="1" x14ac:dyDescent="0.45">
      <c r="A72" s="10" t="s">
        <v>523</v>
      </c>
      <c r="B72" s="10" t="s">
        <v>558</v>
      </c>
      <c r="C72" s="10" t="s">
        <v>559</v>
      </c>
      <c r="D72" s="10" t="s">
        <v>560</v>
      </c>
      <c r="E72" s="10" t="s">
        <v>526</v>
      </c>
      <c r="F72" s="10" t="s">
        <v>527</v>
      </c>
    </row>
    <row r="73" spans="1:6" ht="44" customHeight="1" x14ac:dyDescent="0.45">
      <c r="A73" s="10" t="s">
        <v>523</v>
      </c>
      <c r="B73" s="10" t="s">
        <v>561</v>
      </c>
      <c r="C73" s="10" t="s">
        <v>562</v>
      </c>
      <c r="D73" s="10" t="s">
        <v>563</v>
      </c>
      <c r="E73" s="10" t="s">
        <v>526</v>
      </c>
      <c r="F73" s="10" t="s">
        <v>527</v>
      </c>
    </row>
    <row r="74" spans="1:6" ht="44" customHeight="1" x14ac:dyDescent="0.45">
      <c r="A74" s="10" t="s">
        <v>523</v>
      </c>
      <c r="B74" s="10" t="s">
        <v>564</v>
      </c>
      <c r="C74" s="10" t="s">
        <v>565</v>
      </c>
      <c r="D74" s="10" t="s">
        <v>566</v>
      </c>
      <c r="E74" s="10" t="s">
        <v>526</v>
      </c>
      <c r="F74" s="10" t="s">
        <v>527</v>
      </c>
    </row>
    <row r="75" spans="1:6" ht="44" customHeight="1" x14ac:dyDescent="0.45">
      <c r="A75" s="10" t="s">
        <v>523</v>
      </c>
      <c r="B75" s="10" t="s">
        <v>567</v>
      </c>
      <c r="C75" s="10" t="s">
        <v>568</v>
      </c>
      <c r="D75" s="10" t="s">
        <v>569</v>
      </c>
      <c r="E75" s="10" t="s">
        <v>526</v>
      </c>
      <c r="F75" s="10" t="s">
        <v>527</v>
      </c>
    </row>
    <row r="76" spans="1:6" ht="44" customHeight="1" x14ac:dyDescent="0.45">
      <c r="A76" s="10" t="s">
        <v>523</v>
      </c>
      <c r="B76" s="10" t="s">
        <v>570</v>
      </c>
      <c r="C76" s="10" t="s">
        <v>571</v>
      </c>
      <c r="D76" s="10" t="s">
        <v>572</v>
      </c>
      <c r="E76" s="10" t="s">
        <v>526</v>
      </c>
      <c r="F76" s="10" t="s">
        <v>527</v>
      </c>
    </row>
    <row r="77" spans="1:6" ht="44" customHeight="1" x14ac:dyDescent="0.45">
      <c r="A77" s="10" t="s">
        <v>523</v>
      </c>
      <c r="B77" s="10" t="s">
        <v>573</v>
      </c>
      <c r="C77" s="10" t="s">
        <v>574</v>
      </c>
      <c r="D77" s="10" t="s">
        <v>575</v>
      </c>
      <c r="E77" s="10" t="s">
        <v>526</v>
      </c>
      <c r="F77" s="10" t="s">
        <v>527</v>
      </c>
    </row>
    <row r="78" spans="1:6" ht="44" customHeight="1" x14ac:dyDescent="0.45">
      <c r="A78" s="10" t="s">
        <v>523</v>
      </c>
      <c r="B78" s="10" t="s">
        <v>576</v>
      </c>
      <c r="C78" s="10" t="s">
        <v>577</v>
      </c>
      <c r="D78" s="10" t="s">
        <v>578</v>
      </c>
      <c r="E78" s="10" t="s">
        <v>526</v>
      </c>
      <c r="F78" s="10" t="s">
        <v>527</v>
      </c>
    </row>
    <row r="79" spans="1:6" ht="44" customHeight="1" x14ac:dyDescent="0.45">
      <c r="A79" s="10" t="s">
        <v>523</v>
      </c>
      <c r="B79" s="10" t="s">
        <v>579</v>
      </c>
      <c r="C79" s="10" t="s">
        <v>580</v>
      </c>
      <c r="D79" s="10" t="s">
        <v>581</v>
      </c>
      <c r="E79" s="10" t="s">
        <v>526</v>
      </c>
      <c r="F79" s="10" t="s">
        <v>527</v>
      </c>
    </row>
    <row r="80" spans="1:6" ht="44" customHeight="1" x14ac:dyDescent="0.45">
      <c r="A80" s="10" t="s">
        <v>523</v>
      </c>
      <c r="B80" s="10" t="s">
        <v>582</v>
      </c>
      <c r="C80" s="10" t="s">
        <v>583</v>
      </c>
      <c r="D80" s="10" t="s">
        <v>584</v>
      </c>
      <c r="E80" s="10" t="s">
        <v>526</v>
      </c>
      <c r="F80" s="10" t="s">
        <v>527</v>
      </c>
    </row>
    <row r="81" spans="1:6" ht="44" customHeight="1" x14ac:dyDescent="0.45">
      <c r="A81" s="10" t="s">
        <v>523</v>
      </c>
      <c r="B81" s="10" t="s">
        <v>585</v>
      </c>
      <c r="C81" s="10" t="s">
        <v>586</v>
      </c>
      <c r="D81" s="10" t="s">
        <v>587</v>
      </c>
      <c r="E81" s="10" t="s">
        <v>526</v>
      </c>
      <c r="F81" s="10" t="s">
        <v>527</v>
      </c>
    </row>
    <row r="82" spans="1:6" ht="44" customHeight="1" x14ac:dyDescent="0.45">
      <c r="A82" s="10" t="s">
        <v>523</v>
      </c>
      <c r="B82" s="10" t="s">
        <v>588</v>
      </c>
      <c r="C82" s="10" t="s">
        <v>589</v>
      </c>
      <c r="D82" s="10" t="s">
        <v>590</v>
      </c>
      <c r="E82" s="10" t="s">
        <v>526</v>
      </c>
      <c r="F82" s="10" t="s">
        <v>527</v>
      </c>
    </row>
    <row r="83" spans="1:6" ht="44" customHeight="1" x14ac:dyDescent="0.45">
      <c r="A83" s="10" t="s">
        <v>523</v>
      </c>
      <c r="B83" s="10" t="s">
        <v>591</v>
      </c>
      <c r="C83" s="10" t="s">
        <v>592</v>
      </c>
      <c r="D83" s="10" t="s">
        <v>593</v>
      </c>
      <c r="E83" s="10" t="s">
        <v>526</v>
      </c>
      <c r="F83" s="10" t="s">
        <v>527</v>
      </c>
    </row>
    <row r="84" spans="1:6" ht="44" customHeight="1" x14ac:dyDescent="0.45">
      <c r="A84" s="10" t="s">
        <v>523</v>
      </c>
      <c r="B84" s="10" t="s">
        <v>594</v>
      </c>
      <c r="C84" s="10" t="s">
        <v>595</v>
      </c>
      <c r="D84" s="10" t="s">
        <v>596</v>
      </c>
      <c r="E84" s="10" t="s">
        <v>526</v>
      </c>
      <c r="F84" s="10" t="s">
        <v>527</v>
      </c>
    </row>
    <row r="85" spans="1:6" ht="44" customHeight="1" x14ac:dyDescent="0.45">
      <c r="A85" s="10" t="s">
        <v>523</v>
      </c>
      <c r="B85" s="10" t="s">
        <v>597</v>
      </c>
      <c r="C85" s="10" t="s">
        <v>598</v>
      </c>
      <c r="D85" s="10" t="s">
        <v>599</v>
      </c>
      <c r="E85" s="10" t="s">
        <v>526</v>
      </c>
      <c r="F85" s="10" t="s">
        <v>527</v>
      </c>
    </row>
    <row r="86" spans="1:6" ht="44" customHeight="1" x14ac:dyDescent="0.45">
      <c r="A86" s="10" t="s">
        <v>523</v>
      </c>
      <c r="B86" s="10" t="s">
        <v>600</v>
      </c>
      <c r="C86" s="10" t="s">
        <v>601</v>
      </c>
      <c r="D86" s="10" t="s">
        <v>602</v>
      </c>
      <c r="E86" s="10" t="s">
        <v>526</v>
      </c>
      <c r="F86" s="10" t="s">
        <v>527</v>
      </c>
    </row>
    <row r="87" spans="1:6" ht="44" customHeight="1" x14ac:dyDescent="0.45">
      <c r="A87" s="10" t="s">
        <v>523</v>
      </c>
      <c r="B87" s="10" t="s">
        <v>603</v>
      </c>
      <c r="C87" s="10" t="s">
        <v>604</v>
      </c>
      <c r="D87" s="10" t="s">
        <v>605</v>
      </c>
      <c r="E87" s="10" t="s">
        <v>526</v>
      </c>
      <c r="F87" s="10" t="s">
        <v>527</v>
      </c>
    </row>
    <row r="88" spans="1:6" ht="44" customHeight="1" x14ac:dyDescent="0.45">
      <c r="A88" s="10" t="s">
        <v>523</v>
      </c>
      <c r="B88" s="10" t="s">
        <v>606</v>
      </c>
      <c r="C88" s="10" t="s">
        <v>607</v>
      </c>
      <c r="D88" s="10" t="s">
        <v>608</v>
      </c>
      <c r="E88" s="10" t="s">
        <v>526</v>
      </c>
      <c r="F88" s="10" t="s">
        <v>527</v>
      </c>
    </row>
    <row r="89" spans="1:6" ht="44" customHeight="1" x14ac:dyDescent="0.45">
      <c r="A89" s="10" t="s">
        <v>523</v>
      </c>
      <c r="B89" s="10" t="s">
        <v>609</v>
      </c>
      <c r="C89" s="10" t="s">
        <v>610</v>
      </c>
      <c r="D89" s="10" t="s">
        <v>611</v>
      </c>
      <c r="E89" s="10" t="s">
        <v>526</v>
      </c>
      <c r="F89" s="10" t="s">
        <v>527</v>
      </c>
    </row>
    <row r="90" spans="1:6" ht="44" customHeight="1" x14ac:dyDescent="0.45">
      <c r="A90" s="10" t="s">
        <v>523</v>
      </c>
      <c r="B90" s="10" t="s">
        <v>612</v>
      </c>
      <c r="C90" s="10" t="s">
        <v>613</v>
      </c>
      <c r="D90" s="10" t="s">
        <v>614</v>
      </c>
      <c r="E90" s="10" t="s">
        <v>526</v>
      </c>
      <c r="F90" s="10" t="s">
        <v>527</v>
      </c>
    </row>
    <row r="91" spans="1:6" ht="44" customHeight="1" x14ac:dyDescent="0.45">
      <c r="A91" s="10" t="s">
        <v>523</v>
      </c>
      <c r="B91" s="10" t="s">
        <v>615</v>
      </c>
      <c r="C91" s="10" t="s">
        <v>616</v>
      </c>
      <c r="D91" s="10" t="s">
        <v>617</v>
      </c>
      <c r="E91" s="10" t="s">
        <v>526</v>
      </c>
      <c r="F91" s="10" t="s">
        <v>527</v>
      </c>
    </row>
    <row r="92" spans="1:6" ht="44" customHeight="1" x14ac:dyDescent="0.45">
      <c r="A92" s="10" t="s">
        <v>523</v>
      </c>
      <c r="B92" s="10" t="s">
        <v>618</v>
      </c>
      <c r="C92" s="10" t="s">
        <v>619</v>
      </c>
      <c r="D92" s="10" t="s">
        <v>620</v>
      </c>
      <c r="E92" s="10" t="s">
        <v>526</v>
      </c>
      <c r="F92" s="10" t="s">
        <v>527</v>
      </c>
    </row>
    <row r="93" spans="1:6" ht="44" customHeight="1" x14ac:dyDescent="0.45">
      <c r="A93" s="10" t="s">
        <v>523</v>
      </c>
      <c r="B93" s="10" t="s">
        <v>621</v>
      </c>
      <c r="C93" s="10" t="s">
        <v>622</v>
      </c>
      <c r="D93" s="10" t="s">
        <v>623</v>
      </c>
      <c r="E93" s="10" t="s">
        <v>526</v>
      </c>
      <c r="F93" s="10" t="s">
        <v>527</v>
      </c>
    </row>
    <row r="94" spans="1:6" ht="44" customHeight="1" x14ac:dyDescent="0.45">
      <c r="A94" s="10" t="s">
        <v>523</v>
      </c>
      <c r="B94" s="10" t="s">
        <v>624</v>
      </c>
      <c r="C94" s="10" t="s">
        <v>625</v>
      </c>
      <c r="D94" s="10" t="s">
        <v>626</v>
      </c>
      <c r="E94" s="10" t="s">
        <v>526</v>
      </c>
      <c r="F94" s="10" t="s">
        <v>527</v>
      </c>
    </row>
    <row r="95" spans="1:6" ht="44" customHeight="1" x14ac:dyDescent="0.45">
      <c r="A95" s="10" t="s">
        <v>523</v>
      </c>
      <c r="B95" s="10" t="s">
        <v>627</v>
      </c>
      <c r="C95" s="10" t="s">
        <v>628</v>
      </c>
      <c r="D95" s="10" t="s">
        <v>629</v>
      </c>
      <c r="E95" s="10" t="s">
        <v>526</v>
      </c>
      <c r="F95" s="10" t="s">
        <v>527</v>
      </c>
    </row>
    <row r="96" spans="1:6" ht="44" customHeight="1" x14ac:dyDescent="0.45">
      <c r="A96" s="10" t="s">
        <v>523</v>
      </c>
      <c r="B96" s="10" t="s">
        <v>630</v>
      </c>
      <c r="C96" s="10" t="s">
        <v>631</v>
      </c>
      <c r="D96" s="10" t="s">
        <v>632</v>
      </c>
      <c r="E96" s="10" t="s">
        <v>526</v>
      </c>
      <c r="F96" s="10" t="s">
        <v>527</v>
      </c>
    </row>
    <row r="97" spans="1:6" ht="44" customHeight="1" x14ac:dyDescent="0.45">
      <c r="A97" s="10" t="s">
        <v>523</v>
      </c>
      <c r="B97" s="10" t="s">
        <v>633</v>
      </c>
      <c r="C97" s="10" t="s">
        <v>634</v>
      </c>
      <c r="D97" s="10" t="s">
        <v>635</v>
      </c>
      <c r="E97" s="10" t="s">
        <v>526</v>
      </c>
      <c r="F97" s="10" t="s">
        <v>527</v>
      </c>
    </row>
    <row r="98" spans="1:6" ht="44" customHeight="1" x14ac:dyDescent="0.45">
      <c r="A98" s="10" t="s">
        <v>523</v>
      </c>
      <c r="B98" s="10" t="s">
        <v>636</v>
      </c>
      <c r="C98" s="10" t="s">
        <v>637</v>
      </c>
      <c r="D98" s="10" t="s">
        <v>638</v>
      </c>
      <c r="E98" s="10" t="s">
        <v>526</v>
      </c>
      <c r="F98" s="10" t="s">
        <v>527</v>
      </c>
    </row>
    <row r="99" spans="1:6" ht="44" customHeight="1" x14ac:dyDescent="0.45">
      <c r="A99" s="10" t="s">
        <v>523</v>
      </c>
      <c r="B99" s="10" t="s">
        <v>639</v>
      </c>
      <c r="C99" s="10" t="s">
        <v>640</v>
      </c>
      <c r="D99" s="10" t="s">
        <v>641</v>
      </c>
      <c r="E99" s="10" t="s">
        <v>526</v>
      </c>
      <c r="F99" s="10" t="s">
        <v>527</v>
      </c>
    </row>
    <row r="100" spans="1:6" ht="44" customHeight="1" x14ac:dyDescent="0.45">
      <c r="A100" s="10" t="s">
        <v>523</v>
      </c>
      <c r="B100" s="10" t="s">
        <v>642</v>
      </c>
      <c r="C100" s="10" t="s">
        <v>643</v>
      </c>
      <c r="D100" s="10" t="s">
        <v>644</v>
      </c>
      <c r="E100" s="10" t="s">
        <v>526</v>
      </c>
      <c r="F100" s="10" t="s">
        <v>527</v>
      </c>
    </row>
    <row r="101" spans="1:6" ht="44" customHeight="1" x14ac:dyDescent="0.45">
      <c r="A101" s="10" t="s">
        <v>523</v>
      </c>
      <c r="B101" s="10" t="s">
        <v>645</v>
      </c>
      <c r="C101" s="10" t="s">
        <v>646</v>
      </c>
      <c r="D101" s="10" t="s">
        <v>647</v>
      </c>
      <c r="E101" s="10" t="s">
        <v>526</v>
      </c>
      <c r="F101" s="10" t="s">
        <v>527</v>
      </c>
    </row>
    <row r="102" spans="1:6" ht="44" customHeight="1" x14ac:dyDescent="0.45">
      <c r="A102" s="10" t="s">
        <v>523</v>
      </c>
      <c r="B102" s="10" t="s">
        <v>648</v>
      </c>
      <c r="C102" s="10" t="s">
        <v>649</v>
      </c>
      <c r="D102" s="10" t="s">
        <v>650</v>
      </c>
      <c r="E102" s="10" t="s">
        <v>526</v>
      </c>
      <c r="F102" s="10" t="s">
        <v>527</v>
      </c>
    </row>
    <row r="103" spans="1:6" ht="44" customHeight="1" x14ac:dyDescent="0.45">
      <c r="A103" s="10" t="s">
        <v>523</v>
      </c>
      <c r="B103" s="10" t="s">
        <v>651</v>
      </c>
      <c r="C103" s="10" t="s">
        <v>652</v>
      </c>
      <c r="D103" s="10" t="s">
        <v>653</v>
      </c>
      <c r="E103" s="10" t="s">
        <v>526</v>
      </c>
      <c r="F103" s="10" t="s">
        <v>527</v>
      </c>
    </row>
    <row r="104" spans="1:6" ht="44" customHeight="1" x14ac:dyDescent="0.45">
      <c r="A104" s="10" t="s">
        <v>523</v>
      </c>
      <c r="B104" s="10" t="s">
        <v>654</v>
      </c>
      <c r="C104" s="10" t="s">
        <v>655</v>
      </c>
      <c r="D104" s="10" t="s">
        <v>656</v>
      </c>
      <c r="E104" s="10" t="s">
        <v>526</v>
      </c>
      <c r="F104" s="10" t="s">
        <v>527</v>
      </c>
    </row>
    <row r="105" spans="1:6" ht="44" customHeight="1" x14ac:dyDescent="0.45">
      <c r="A105" s="10" t="s">
        <v>523</v>
      </c>
      <c r="B105" s="10" t="s">
        <v>657</v>
      </c>
      <c r="C105" s="10" t="s">
        <v>658</v>
      </c>
      <c r="D105" s="10" t="s">
        <v>659</v>
      </c>
      <c r="E105" s="10" t="s">
        <v>526</v>
      </c>
      <c r="F105" s="10" t="s">
        <v>527</v>
      </c>
    </row>
    <row r="106" spans="1:6" ht="44" customHeight="1" x14ac:dyDescent="0.45">
      <c r="A106" s="10" t="s">
        <v>523</v>
      </c>
      <c r="B106" s="10" t="s">
        <v>660</v>
      </c>
      <c r="C106" s="10" t="s">
        <v>661</v>
      </c>
      <c r="D106" s="10" t="s">
        <v>662</v>
      </c>
      <c r="E106" s="10" t="s">
        <v>526</v>
      </c>
      <c r="F106" s="10" t="s">
        <v>527</v>
      </c>
    </row>
    <row r="107" spans="1:6" ht="44" customHeight="1" x14ac:dyDescent="0.45">
      <c r="A107" s="10" t="s">
        <v>523</v>
      </c>
      <c r="B107" s="10" t="s">
        <v>663</v>
      </c>
      <c r="C107" s="10" t="s">
        <v>664</v>
      </c>
      <c r="D107" s="10" t="s">
        <v>665</v>
      </c>
      <c r="E107" s="10" t="s">
        <v>526</v>
      </c>
      <c r="F107" s="10" t="s">
        <v>527</v>
      </c>
    </row>
    <row r="108" spans="1:6" ht="44" customHeight="1" x14ac:dyDescent="0.45">
      <c r="A108" s="10" t="s">
        <v>523</v>
      </c>
      <c r="B108" s="10" t="s">
        <v>15</v>
      </c>
      <c r="C108" s="10" t="s">
        <v>666</v>
      </c>
      <c r="D108" s="10" t="s">
        <v>667</v>
      </c>
      <c r="E108" s="10" t="s">
        <v>526</v>
      </c>
      <c r="F108" s="10" t="s">
        <v>527</v>
      </c>
    </row>
    <row r="109" spans="1:6" ht="44" customHeight="1" x14ac:dyDescent="0.45">
      <c r="A109" s="10" t="s">
        <v>523</v>
      </c>
      <c r="B109" s="10" t="s">
        <v>668</v>
      </c>
      <c r="C109" s="10" t="s">
        <v>669</v>
      </c>
      <c r="D109" s="10" t="s">
        <v>670</v>
      </c>
      <c r="E109" s="10" t="s">
        <v>526</v>
      </c>
      <c r="F109" s="10" t="s">
        <v>527</v>
      </c>
    </row>
    <row r="110" spans="1:6" ht="44" customHeight="1" x14ac:dyDescent="0.45">
      <c r="A110" s="10" t="s">
        <v>671</v>
      </c>
      <c r="B110" s="10" t="s">
        <v>672</v>
      </c>
      <c r="C110" s="10" t="s">
        <v>673</v>
      </c>
      <c r="D110" s="10" t="s">
        <v>674</v>
      </c>
      <c r="E110" s="10" t="s">
        <v>675</v>
      </c>
      <c r="F110" s="10" t="s">
        <v>676</v>
      </c>
    </row>
    <row r="111" spans="1:6" ht="44" customHeight="1" x14ac:dyDescent="0.45">
      <c r="A111" s="10" t="s">
        <v>671</v>
      </c>
      <c r="B111" s="10" t="s">
        <v>677</v>
      </c>
      <c r="C111" s="10" t="s">
        <v>678</v>
      </c>
      <c r="D111" s="10" t="s">
        <v>679</v>
      </c>
      <c r="E111" s="10" t="s">
        <v>675</v>
      </c>
      <c r="F111" s="10" t="s">
        <v>676</v>
      </c>
    </row>
    <row r="112" spans="1:6" ht="44" customHeight="1" x14ac:dyDescent="0.45">
      <c r="A112" s="10" t="s">
        <v>671</v>
      </c>
      <c r="B112" s="10" t="s">
        <v>680</v>
      </c>
      <c r="C112" s="10" t="s">
        <v>681</v>
      </c>
      <c r="D112" s="10" t="s">
        <v>682</v>
      </c>
      <c r="E112" s="10" t="s">
        <v>675</v>
      </c>
      <c r="F112" s="10" t="s">
        <v>676</v>
      </c>
    </row>
    <row r="113" spans="1:6" ht="44" customHeight="1" x14ac:dyDescent="0.45">
      <c r="A113" s="10" t="s">
        <v>671</v>
      </c>
      <c r="B113" s="10" t="s">
        <v>683</v>
      </c>
      <c r="C113" s="10" t="s">
        <v>684</v>
      </c>
      <c r="D113" s="10" t="s">
        <v>685</v>
      </c>
      <c r="E113" s="10" t="s">
        <v>675</v>
      </c>
      <c r="F113" s="10" t="s">
        <v>676</v>
      </c>
    </row>
    <row r="114" spans="1:6" ht="44" customHeight="1" x14ac:dyDescent="0.45">
      <c r="A114" s="10" t="s">
        <v>671</v>
      </c>
      <c r="B114" s="10" t="s">
        <v>686</v>
      </c>
      <c r="C114" s="10" t="s">
        <v>687</v>
      </c>
      <c r="D114" s="10" t="s">
        <v>688</v>
      </c>
      <c r="E114" s="10" t="s">
        <v>675</v>
      </c>
      <c r="F114" s="10" t="s">
        <v>676</v>
      </c>
    </row>
    <row r="115" spans="1:6" ht="44" customHeight="1" x14ac:dyDescent="0.45">
      <c r="A115" s="10" t="s">
        <v>671</v>
      </c>
      <c r="B115" s="10" t="s">
        <v>689</v>
      </c>
      <c r="C115" s="10" t="s">
        <v>690</v>
      </c>
      <c r="D115" s="10" t="s">
        <v>691</v>
      </c>
      <c r="E115" s="10" t="s">
        <v>675</v>
      </c>
      <c r="F115" s="10" t="s">
        <v>676</v>
      </c>
    </row>
    <row r="116" spans="1:6" ht="44" customHeight="1" x14ac:dyDescent="0.45">
      <c r="A116" s="10" t="s">
        <v>671</v>
      </c>
      <c r="B116" s="10" t="s">
        <v>692</v>
      </c>
      <c r="C116" s="10" t="s">
        <v>693</v>
      </c>
      <c r="D116" s="10" t="s">
        <v>694</v>
      </c>
      <c r="E116" s="10" t="s">
        <v>675</v>
      </c>
      <c r="F116" s="10" t="s">
        <v>676</v>
      </c>
    </row>
    <row r="117" spans="1:6" ht="44" customHeight="1" x14ac:dyDescent="0.45">
      <c r="A117" s="10" t="s">
        <v>671</v>
      </c>
      <c r="B117" s="10" t="s">
        <v>695</v>
      </c>
      <c r="C117" s="10" t="s">
        <v>696</v>
      </c>
      <c r="D117" s="10" t="s">
        <v>697</v>
      </c>
      <c r="E117" s="10" t="s">
        <v>675</v>
      </c>
      <c r="F117" s="10" t="s">
        <v>676</v>
      </c>
    </row>
    <row r="118" spans="1:6" ht="44" customHeight="1" x14ac:dyDescent="0.45">
      <c r="A118" s="10" t="s">
        <v>671</v>
      </c>
      <c r="B118" s="10" t="s">
        <v>698</v>
      </c>
      <c r="C118" s="10" t="s">
        <v>699</v>
      </c>
      <c r="D118" s="10" t="s">
        <v>700</v>
      </c>
      <c r="E118" s="10" t="s">
        <v>675</v>
      </c>
      <c r="F118" s="10" t="s">
        <v>676</v>
      </c>
    </row>
    <row r="119" spans="1:6" ht="44" customHeight="1" x14ac:dyDescent="0.45">
      <c r="A119" s="10" t="s">
        <v>671</v>
      </c>
      <c r="B119" s="10" t="s">
        <v>701</v>
      </c>
      <c r="C119" s="10" t="s">
        <v>702</v>
      </c>
      <c r="D119" s="10" t="s">
        <v>703</v>
      </c>
      <c r="E119" s="10" t="s">
        <v>675</v>
      </c>
      <c r="F119" s="10" t="s">
        <v>676</v>
      </c>
    </row>
    <row r="120" spans="1:6" ht="44" customHeight="1" x14ac:dyDescent="0.45">
      <c r="A120" s="10" t="s">
        <v>671</v>
      </c>
      <c r="B120" s="10" t="s">
        <v>704</v>
      </c>
      <c r="C120" s="10" t="s">
        <v>705</v>
      </c>
      <c r="D120" s="10" t="s">
        <v>706</v>
      </c>
      <c r="E120" s="10" t="s">
        <v>675</v>
      </c>
      <c r="F120" s="10" t="s">
        <v>676</v>
      </c>
    </row>
    <row r="121" spans="1:6" ht="44" customHeight="1" x14ac:dyDescent="0.45">
      <c r="A121" s="10" t="s">
        <v>671</v>
      </c>
      <c r="B121" s="10" t="s">
        <v>707</v>
      </c>
      <c r="C121" s="10" t="s">
        <v>708</v>
      </c>
      <c r="D121" s="10" t="s">
        <v>709</v>
      </c>
      <c r="E121" s="10" t="s">
        <v>675</v>
      </c>
      <c r="F121" s="10" t="s">
        <v>676</v>
      </c>
    </row>
    <row r="122" spans="1:6" ht="44" customHeight="1" x14ac:dyDescent="0.45">
      <c r="A122" s="10" t="s">
        <v>671</v>
      </c>
      <c r="B122" s="10" t="s">
        <v>710</v>
      </c>
      <c r="C122" s="10" t="s">
        <v>711</v>
      </c>
      <c r="D122" s="10" t="s">
        <v>712</v>
      </c>
      <c r="E122" s="10" t="s">
        <v>675</v>
      </c>
      <c r="F122" s="10" t="s">
        <v>676</v>
      </c>
    </row>
    <row r="123" spans="1:6" ht="44" customHeight="1" x14ac:dyDescent="0.45">
      <c r="A123" s="10" t="s">
        <v>671</v>
      </c>
      <c r="B123" s="10" t="s">
        <v>713</v>
      </c>
      <c r="C123" s="10" t="s">
        <v>714</v>
      </c>
      <c r="D123" s="10" t="s">
        <v>715</v>
      </c>
      <c r="E123" s="10" t="s">
        <v>675</v>
      </c>
      <c r="F123" s="10" t="s">
        <v>676</v>
      </c>
    </row>
    <row r="124" spans="1:6" ht="44" customHeight="1" x14ac:dyDescent="0.45">
      <c r="A124" s="10" t="s">
        <v>671</v>
      </c>
      <c r="B124" s="10" t="s">
        <v>716</v>
      </c>
      <c r="C124" s="10" t="s">
        <v>717</v>
      </c>
      <c r="D124" s="10" t="s">
        <v>718</v>
      </c>
      <c r="E124" s="10" t="s">
        <v>675</v>
      </c>
      <c r="F124" s="10" t="s">
        <v>676</v>
      </c>
    </row>
    <row r="125" spans="1:6" ht="44" customHeight="1" x14ac:dyDescent="0.45">
      <c r="A125" s="10" t="s">
        <v>671</v>
      </c>
      <c r="B125" s="10" t="s">
        <v>719</v>
      </c>
      <c r="C125" s="10" t="s">
        <v>720</v>
      </c>
      <c r="D125" s="10" t="s">
        <v>721</v>
      </c>
      <c r="E125" s="10" t="s">
        <v>675</v>
      </c>
      <c r="F125" s="10" t="s">
        <v>676</v>
      </c>
    </row>
    <row r="126" spans="1:6" ht="44" customHeight="1" x14ac:dyDescent="0.45">
      <c r="A126" s="10" t="s">
        <v>671</v>
      </c>
      <c r="B126" s="10" t="s">
        <v>722</v>
      </c>
      <c r="C126" s="10" t="s">
        <v>723</v>
      </c>
      <c r="D126" s="10" t="s">
        <v>724</v>
      </c>
      <c r="E126" s="10" t="s">
        <v>675</v>
      </c>
      <c r="F126" s="10" t="s">
        <v>676</v>
      </c>
    </row>
    <row r="127" spans="1:6" ht="44" customHeight="1" x14ac:dyDescent="0.45">
      <c r="A127" s="10" t="s">
        <v>671</v>
      </c>
      <c r="B127" s="10" t="s">
        <v>725</v>
      </c>
      <c r="C127" s="10" t="s">
        <v>726</v>
      </c>
      <c r="D127" s="10" t="s">
        <v>727</v>
      </c>
      <c r="E127" s="10" t="s">
        <v>675</v>
      </c>
      <c r="F127" s="10" t="s">
        <v>676</v>
      </c>
    </row>
    <row r="128" spans="1:6" ht="44" customHeight="1" x14ac:dyDescent="0.45">
      <c r="A128" s="10" t="s">
        <v>671</v>
      </c>
      <c r="B128" s="10" t="s">
        <v>133</v>
      </c>
      <c r="C128" s="10" t="s">
        <v>728</v>
      </c>
      <c r="D128" s="10" t="s">
        <v>729</v>
      </c>
      <c r="E128" s="10" t="s">
        <v>675</v>
      </c>
      <c r="F128" s="10" t="s">
        <v>676</v>
      </c>
    </row>
    <row r="129" spans="1:6" ht="44" customHeight="1" x14ac:dyDescent="0.45">
      <c r="A129" s="10" t="s">
        <v>671</v>
      </c>
      <c r="B129" s="10" t="s">
        <v>730</v>
      </c>
      <c r="C129" s="10" t="s">
        <v>731</v>
      </c>
      <c r="D129" s="10" t="s">
        <v>732</v>
      </c>
      <c r="E129" s="10" t="s">
        <v>675</v>
      </c>
      <c r="F129" s="10" t="s">
        <v>676</v>
      </c>
    </row>
    <row r="130" spans="1:6" ht="44" customHeight="1" x14ac:dyDescent="0.45">
      <c r="A130" s="10" t="s">
        <v>671</v>
      </c>
      <c r="B130" s="10" t="s">
        <v>733</v>
      </c>
      <c r="C130" s="10" t="s">
        <v>734</v>
      </c>
      <c r="D130" s="10" t="s">
        <v>735</v>
      </c>
      <c r="E130" s="10" t="s">
        <v>675</v>
      </c>
      <c r="F130" s="10" t="s">
        <v>676</v>
      </c>
    </row>
    <row r="131" spans="1:6" ht="44" customHeight="1" x14ac:dyDescent="0.45">
      <c r="A131" s="10" t="s">
        <v>671</v>
      </c>
      <c r="B131" s="10" t="s">
        <v>736</v>
      </c>
      <c r="C131" s="10" t="s">
        <v>737</v>
      </c>
      <c r="D131" s="10" t="s">
        <v>738</v>
      </c>
      <c r="E131" s="10" t="s">
        <v>675</v>
      </c>
      <c r="F131" s="10" t="s">
        <v>676</v>
      </c>
    </row>
    <row r="132" spans="1:6" ht="44" customHeight="1" x14ac:dyDescent="0.45">
      <c r="A132" s="10" t="s">
        <v>671</v>
      </c>
      <c r="B132" s="10" t="s">
        <v>739</v>
      </c>
      <c r="C132" s="10" t="s">
        <v>740</v>
      </c>
      <c r="D132" s="10" t="s">
        <v>741</v>
      </c>
      <c r="E132" s="10" t="s">
        <v>675</v>
      </c>
      <c r="F132" s="10" t="s">
        <v>676</v>
      </c>
    </row>
    <row r="133" spans="1:6" ht="44" customHeight="1" x14ac:dyDescent="0.45">
      <c r="A133" s="10" t="s">
        <v>671</v>
      </c>
      <c r="B133" s="10" t="s">
        <v>742</v>
      </c>
      <c r="C133" s="10" t="s">
        <v>743</v>
      </c>
      <c r="D133" s="10" t="s">
        <v>744</v>
      </c>
      <c r="E133" s="10" t="s">
        <v>675</v>
      </c>
      <c r="F133" s="10" t="s">
        <v>676</v>
      </c>
    </row>
    <row r="134" spans="1:6" ht="44" customHeight="1" x14ac:dyDescent="0.45">
      <c r="A134" s="10" t="s">
        <v>671</v>
      </c>
      <c r="B134" s="10" t="s">
        <v>745</v>
      </c>
      <c r="C134" s="10" t="s">
        <v>746</v>
      </c>
      <c r="D134" s="10" t="s">
        <v>747</v>
      </c>
      <c r="E134" s="10" t="s">
        <v>675</v>
      </c>
      <c r="F134" s="10" t="s">
        <v>676</v>
      </c>
    </row>
    <row r="135" spans="1:6" ht="44" customHeight="1" x14ac:dyDescent="0.45">
      <c r="A135" s="10" t="s">
        <v>671</v>
      </c>
      <c r="B135" s="10" t="s">
        <v>748</v>
      </c>
      <c r="C135" s="10" t="s">
        <v>749</v>
      </c>
      <c r="D135" s="10" t="s">
        <v>750</v>
      </c>
      <c r="E135" s="10" t="s">
        <v>675</v>
      </c>
      <c r="F135" s="10" t="s">
        <v>676</v>
      </c>
    </row>
    <row r="136" spans="1:6" ht="44" customHeight="1" x14ac:dyDescent="0.45">
      <c r="A136" s="10" t="s">
        <v>671</v>
      </c>
      <c r="B136" s="10" t="s">
        <v>751</v>
      </c>
      <c r="C136" s="10" t="s">
        <v>752</v>
      </c>
      <c r="D136" s="10" t="s">
        <v>753</v>
      </c>
      <c r="E136" s="10" t="s">
        <v>675</v>
      </c>
      <c r="F136" s="10" t="s">
        <v>676</v>
      </c>
    </row>
    <row r="137" spans="1:6" ht="44" customHeight="1" x14ac:dyDescent="0.45">
      <c r="A137" s="10" t="s">
        <v>671</v>
      </c>
      <c r="B137" s="10" t="s">
        <v>754</v>
      </c>
      <c r="C137" s="10" t="s">
        <v>755</v>
      </c>
      <c r="D137" s="10" t="s">
        <v>756</v>
      </c>
      <c r="E137" s="10" t="s">
        <v>675</v>
      </c>
      <c r="F137" s="10" t="s">
        <v>676</v>
      </c>
    </row>
  </sheetData>
  <mergeCells count="4">
    <mergeCell ref="A3:F3"/>
    <mergeCell ref="A2:F2"/>
    <mergeCell ref="A1:F1"/>
    <mergeCell ref="A4:F4"/>
  </mergeCells>
  <hyperlinks>
    <hyperlink ref="A3" r:id="rId1" xr:uid="{00000000-0004-0000-0100-000000000000}"/>
  </hyperlinks>
  <pageMargins left="0.75" right="0.75" top="1" bottom="1" header="0.5" footer="0.5"/>
  <pageSetup fitToWidth="2" fitToHeight="0" orientation="landscape"/>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Top_5_Decision</vt:lpstr>
      <vt:lpstr>Field_Definitions</vt:lpstr>
      <vt:lpstr>Field_Definitions!Print_Titles</vt:lpstr>
      <vt:lpstr>Top_5_Decision!Print_Titles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Guerrero Quijano</cp:lastModifiedBy>
  <dcterms:created xsi:type="dcterms:W3CDTF">2026-08-11T10:55:24Z</dcterms:created>
  <dcterms:modified xsi:type="dcterms:W3CDTF">2026-08-11T10:55:42Z</dcterms:modified>
</cp:coreProperties>
</file>